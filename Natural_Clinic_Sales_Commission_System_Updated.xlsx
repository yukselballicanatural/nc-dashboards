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efae24035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 Kuralları" sheetId="1" r:id="Rb7127010128d4030"/>
    <x:sheet xmlns:r="http://schemas.openxmlformats.org/officeDocument/2006/relationships" name="Aylık Hesaplama" sheetId="2" r:id="Ra9ab51a387fa4601"/>
    <x:sheet xmlns:r="http://schemas.openxmlformats.org/officeDocument/2006/relationships" name="Çeyreklik Hesaplama" sheetId="3" r:id="Raa9a1e68c1d9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€ #,##0.00"/>
    <x:numFmt numFmtId="202" formatCode="dd.mm.yyyy"/>
    <x:numFmt numFmtId="203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4E3D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8EF"/>
      </x:patternFill>
    </x:fill>
    <x:fill>
      <x:patternFill patternType="solid">
        <x:fgColor rgb="FFFFD96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7F7F7"/>
      </x:patternFill>
    </x:fill>
    <x:fill>
      <x:patternFill patternType="solid">
        <x:fgColor rgb="FFFFF9E6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200" fontId="0" fillId="5" borderId="3" xfId="0" applyNumberFormat="1" applyFont="1" applyFill="1" applyBorder="1"/>
    <x:xf numFmtId="200" fontId="0" fillId="5" borderId="0" xfId="0" applyNumberFormat="1" applyFont="1" applyFill="1" applyBorder="1"/>
    <x:xf numFmtId="200" fontId="0" fillId="5" borderId="8" xfId="0" applyNumberFormat="1" applyFont="1" applyFill="1" applyBorder="1"/>
    <x:xf numFmtId="200" fontId="0" fillId="5" borderId="11" xfId="0" applyNumberFormat="1" applyFont="1" applyFill="1" applyBorder="1"/>
    <x:xf numFmtId="200" fontId="0" fillId="5" borderId="1" xfId="0" applyNumberFormat="1" applyFont="1" applyFill="1" applyBorder="1"/>
    <x:xf numFmtId="200" fontId="0" fillId="5" borderId="16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200" fontId="0" fillId="7" borderId="3" xfId="0" applyNumberFormat="1" applyFont="1" applyFill="1" applyBorder="1"/>
    <x:xf numFmtId="200" fontId="0" fillId="7" borderId="0" xfId="0" applyNumberFormat="1" applyFont="1" applyFill="1" applyBorder="1"/>
    <x:xf numFmtId="200" fontId="0" fillId="7" borderId="8" xfId="0" applyNumberFormat="1" applyFont="1" applyFill="1" applyBorder="1"/>
    <x:xf numFmtId="200" fontId="0" fillId="7" borderId="11" xfId="0" applyNumberFormat="1" applyFont="1" applyFill="1" applyBorder="1"/>
    <x:xf numFmtId="200" fontId="0" fillId="7" borderId="1" xfId="0" applyNumberFormat="1" applyFont="1" applyFill="1" applyBorder="1"/>
    <x:xf numFmtId="200" fontId="0" fillId="7" borderId="16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8" borderId="2" xfId="0" applyNumberFormat="1" applyFont="1" applyFill="1" applyBorder="1" applyAlignment="1">
      <x:alignment horizontal="center"/>
    </x:xf>
    <x:xf numFmtId="0" fontId="6" fillId="8" borderId="3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horizontal="center"/>
    </x:xf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6" fillId="8" borderId="10" xfId="0" applyNumberFormat="1" applyFont="1" applyFill="1" applyBorder="1" applyAlignment="1">
      <x:alignment horizontal="center"/>
    </x:xf>
    <x:xf numFmtId="0" fontId="6" fillId="8" borderId="11" xfId="0" applyNumberFormat="1" applyFont="1" applyFill="1" applyBorder="1" applyAlignment="1">
      <x:alignment horizontal="center"/>
    </x:xf>
    <x:xf numFmtId="0" fontId="6" fillId="8" borderId="12" xfId="0" applyNumberFormat="1" applyFont="1" applyFill="1" applyBorder="1" applyAlignment="1">
      <x:alignment horizontal="center"/>
    </x:xf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10" xfId="0" applyNumberFormat="1" applyFont="1" applyFill="1" applyBorder="1" applyAlignment="1">
      <x:alignment horizontal="center"/>
    </x:xf>
    <x:xf numFmtId="0" fontId="4" fillId="2" borderId="11" xfId="0" applyNumberFormat="1" applyFont="1" applyFill="1" applyBorder="1" applyAlignment="1">
      <x:alignment horizontal="center"/>
    </x:xf>
    <x:xf numFmtId="0" fontId="4" fillId="2" borderId="12" xfId="0" applyNumberFormat="1" applyFont="1" applyFill="1" applyBorder="1" applyAlignment="1">
      <x:alignment horizontal="center"/>
    </x:xf>
    <x:xf numFmtId="201" fontId="0" fillId="5" borderId="5" xfId="0" applyNumberFormat="1" applyFont="1" applyFill="1" applyBorder="1"/>
    <x:xf numFmtId="201" fontId="0" fillId="5" borderId="7" xfId="0" applyNumberFormat="1" applyFont="1" applyFill="1" applyBorder="1"/>
    <x:xf numFmtId="201" fontId="0" fillId="5" borderId="13" xfId="0" applyNumberFormat="1" applyFont="1" applyFill="1" applyBorder="1"/>
    <x:xf numFmtId="201" fontId="0" fillId="5" borderId="15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201" fontId="0" fillId="7" borderId="5" xfId="0" applyNumberFormat="1" applyFont="1" applyFill="1" applyBorder="1"/>
    <x:xf numFmtId="201" fontId="0" fillId="7" borderId="7" xfId="0" applyNumberFormat="1" applyFont="1" applyFill="1" applyBorder="1"/>
    <x:xf numFmtId="201" fontId="0" fillId="7" borderId="13" xfId="0" applyNumberFormat="1" applyFont="1" applyFill="1" applyBorder="1"/>
    <x:xf numFmtId="201" fontId="0" fillId="7" borderId="15" xfId="0" applyNumberFormat="1" applyFont="1" applyFill="1" applyBorder="1"/>
    <x:xf numFmtId="0" fontId="0" fillId="10" borderId="0" xfId="0" applyNumberFormat="1" applyFont="1" applyFill="1" applyBorder="1"/>
    <x:xf numFmtId="0" fontId="0" fillId="10" borderId="18" xfId="0" applyNumberFormat="1" applyFont="1" applyFill="1" applyBorder="1"/>
    <x:xf numFmtId="0" fontId="0" fillId="10" borderId="19" xfId="0" applyNumberFormat="1" applyFont="1" applyFill="1" applyBorder="1"/>
    <x:xf numFmtId="0" fontId="0" fillId="10" borderId="20" xfId="0" applyNumberFormat="1" applyFont="1" applyFill="1" applyBorder="1"/>
    <x:xf numFmtId="0" fontId="0" fillId="10" borderId="21" xfId="0" applyNumberFormat="1" applyFont="1" applyFill="1" applyBorder="1"/>
    <x:xf numFmtId="0" fontId="0" fillId="10" borderId="22" xfId="0" applyNumberFormat="1" applyFont="1" applyFill="1" applyBorder="1"/>
    <x:xf numFmtId="0" fontId="0" fillId="10" borderId="23" xfId="0" applyNumberFormat="1" applyFont="1" applyFill="1" applyBorder="1"/>
    <x:xf numFmtId="0" fontId="0" fillId="10" borderId="24" xfId="0" applyNumberFormat="1" applyFont="1" applyFill="1" applyBorder="1"/>
    <x:xf numFmtId="0" fontId="0" fillId="10" borderId="25" xfId="0" applyNumberFormat="1" applyFont="1" applyFill="1" applyBorder="1"/>
    <x:xf numFmtId="0" fontId="0" fillId="10" borderId="18" xfId="0" applyNumberFormat="1" applyFont="1" applyFill="1" applyBorder="1" applyAlignment="1">
      <x:alignment wrapText="1"/>
    </x:xf>
    <x:xf numFmtId="0" fontId="0" fillId="10" borderId="19" xfId="0" applyNumberFormat="1" applyFont="1" applyFill="1" applyBorder="1" applyAlignment="1">
      <x:alignment wrapText="1"/>
    </x:xf>
    <x:xf numFmtId="0" fontId="0" fillId="10" borderId="20" xfId="0" applyNumberFormat="1" applyFont="1" applyFill="1" applyBorder="1" applyAlignment="1">
      <x:alignment wrapText="1"/>
    </x:xf>
    <x:xf numFmtId="0" fontId="0" fillId="10" borderId="2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22" xfId="0" applyNumberFormat="1" applyFont="1" applyFill="1" applyBorder="1" applyAlignment="1">
      <x:alignment wrapText="1"/>
    </x:xf>
    <x:xf numFmtId="0" fontId="0" fillId="10" borderId="23" xfId="0" applyNumberFormat="1" applyFont="1" applyFill="1" applyBorder="1" applyAlignment="1">
      <x:alignment wrapText="1"/>
    </x:xf>
    <x:xf numFmtId="0" fontId="0" fillId="10" borderId="24" xfId="0" applyNumberFormat="1" applyFont="1" applyFill="1" applyBorder="1" applyAlignment="1">
      <x:alignment wrapText="1"/>
    </x:xf>
    <x:xf numFmtId="0" fontId="0" fillId="10" borderId="25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0" fillId="10" borderId="26" xfId="0" applyNumberFormat="1" applyFont="1" applyFill="1" applyBorder="1"/>
    <x:xf numFmtId="0" fontId="0" fillId="10" borderId="27" xfId="0" applyNumberFormat="1" applyFont="1" applyFill="1" applyBorder="1"/>
    <x:xf numFmtId="0" fontId="0" fillId="10" borderId="28" xfId="0" applyNumberFormat="1" applyFont="1" applyFill="1" applyBorder="1"/>
    <x:xf numFmtId="0" fontId="0" fillId="10" borderId="29" xfId="0" applyNumberFormat="1" applyFont="1" applyFill="1" applyBorder="1"/>
    <x:xf numFmtId="0" fontId="0" fillId="10" borderId="30" xfId="0" applyNumberFormat="1" applyFont="1" applyFill="1" applyBorder="1"/>
    <x:xf numFmtId="0" fontId="0" fillId="10" borderId="31" xfId="0" applyNumberFormat="1" applyFont="1" applyFill="1" applyBorder="1"/>
    <x:xf numFmtId="0" fontId="0" fillId="10" borderId="32" xfId="0" applyNumberFormat="1" applyFont="1" applyFill="1" applyBorder="1"/>
    <x:xf numFmtId="0" fontId="0" fillId="10" borderId="33" xfId="0" applyNumberFormat="1" applyFont="1" applyFill="1" applyBorder="1"/>
    <x:xf numFmtId="0" fontId="0" fillId="10" borderId="26" xfId="0" applyNumberFormat="1" applyFont="1" applyFill="1" applyBorder="1" applyAlignment="1">
      <x:alignment wrapText="1"/>
    </x:xf>
    <x:xf numFmtId="0" fontId="0" fillId="10" borderId="27" xfId="0" applyNumberFormat="1" applyFont="1" applyFill="1" applyBorder="1" applyAlignment="1">
      <x:alignment wrapText="1"/>
    </x:xf>
    <x:xf numFmtId="0" fontId="0" fillId="10" borderId="28" xfId="0" applyNumberFormat="1" applyFont="1" applyFill="1" applyBorder="1" applyAlignment="1">
      <x:alignment wrapText="1"/>
    </x:xf>
    <x:xf numFmtId="0" fontId="0" fillId="10" borderId="29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0" borderId="30" xfId="0" applyNumberFormat="1" applyFont="1" applyFill="1" applyBorder="1" applyAlignment="1">
      <x:alignment wrapText="1"/>
    </x:xf>
    <x:xf numFmtId="0" fontId="0" fillId="10" borderId="31" xfId="0" applyNumberFormat="1" applyFont="1" applyFill="1" applyBorder="1" applyAlignment="1">
      <x:alignment wrapText="1"/>
    </x:xf>
    <x:xf numFmtId="0" fontId="0" fillId="10" borderId="32" xfId="0" applyNumberFormat="1" applyFont="1" applyFill="1" applyBorder="1" applyAlignment="1">
      <x:alignment wrapText="1"/>
    </x:xf>
    <x:xf numFmtId="0" fontId="0" fillId="10" borderId="3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8" borderId="2" xfId="0" applyNumberFormat="1" applyFont="1" applyFill="1" applyBorder="1" applyAlignment="1">
      <x:alignment horizontal="center" vertical="center"/>
    </x:xf>
    <x:xf numFmtId="0" fontId="6" fillId="8" borderId="3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9" borderId="5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0" fillId="9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20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7" borderId="2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200" fontId="0" fillId="7" borderId="3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/>
    </x:xf>
    <x:xf numFmtId="0" fontId="0" fillId="7" borderId="8" xfId="0" applyNumberFormat="1" applyFont="1" applyFill="1" applyBorder="1" applyAlignment="1">
      <x:alignment vertical="center"/>
    </x:xf>
    <x:xf numFmtId="200" fontId="0" fillId="7" borderId="8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horizontal="center" vertical="center"/>
    </x:xf>
    <x:xf numFmtId="201" fontId="0" fillId="5" borderId="7" xfId="0" applyNumberFormat="1" applyFont="1" applyFill="1" applyBorder="1" applyAlignment="1">
      <x:alignment vertical="center"/>
    </x:xf>
    <x:xf numFmtId="0" fontId="0" fillId="10" borderId="18" xfId="0" applyNumberFormat="1" applyFont="1" applyFill="1" applyBorder="1" applyAlignment="1">
      <x:alignment vertical="center" wrapText="1"/>
    </x:xf>
    <x:xf numFmtId="0" fontId="0" fillId="10" borderId="19" xfId="0" applyNumberFormat="1" applyFont="1" applyFill="1" applyBorder="1" applyAlignment="1">
      <x:alignment vertical="center" wrapText="1"/>
    </x:xf>
    <x:xf numFmtId="0" fontId="0" fillId="10" borderId="20" xfId="0" applyNumberFormat="1" applyFont="1" applyFill="1" applyBorder="1" applyAlignment="1">
      <x:alignment vertical="center" wrapText="1"/>
    </x:xf>
    <x:xf numFmtId="0" fontId="0" fillId="10" borderId="2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2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/>
    </x:xf>
    <x:xf numFmtId="201" fontId="0" fillId="7" borderId="5" xfId="0" applyNumberFormat="1" applyFont="1" applyFill="1" applyBorder="1" applyAlignment="1">
      <x:alignment vertical="center"/>
    </x:xf>
    <x:xf numFmtId="0" fontId="0" fillId="10" borderId="23" xfId="0" applyNumberFormat="1" applyFont="1" applyFill="1" applyBorder="1" applyAlignment="1">
      <x:alignment vertical="center" wrapText="1"/>
    </x:xf>
    <x:xf numFmtId="0" fontId="0" fillId="10" borderId="24" xfId="0" applyNumberFormat="1" applyFont="1" applyFill="1" applyBorder="1" applyAlignment="1">
      <x:alignment vertical="center" wrapText="1"/>
    </x:xf>
    <x:xf numFmtId="0" fontId="0" fillId="10" borderId="25" xfId="0" applyNumberFormat="1" applyFont="1" applyFill="1" applyBorder="1" applyAlignment="1">
      <x:alignment vertical="center" wrapText="1"/>
    </x:xf>
    <x:xf numFmtId="201" fontId="0" fillId="7" borderId="7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8" borderId="10" xfId="0" applyNumberFormat="1" applyFont="1" applyFill="1" applyBorder="1" applyAlignment="1">
      <x:alignment horizontal="center" vertical="center"/>
    </x:xf>
    <x:xf numFmtId="0" fontId="6" fillId="8" borderId="11" xfId="0" applyNumberFormat="1" applyFont="1" applyFill="1" applyBorder="1" applyAlignment="1">
      <x:alignment horizontal="center" vertical="center"/>
    </x:xf>
    <x:xf numFmtId="0" fontId="6" fillId="8" borderId="12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20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7" borderId="13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7" borderId="14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5" borderId="14" xfId="0" applyNumberFormat="1" applyFont="1" applyFill="1" applyBorder="1" applyAlignment="1">
      <x:alignment vertical="center"/>
    </x:xf>
    <x:xf numFmtId="0" fontId="0" fillId="9" borderId="13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0" fillId="9" borderId="14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0" fontId="0" fillId="5" borderId="16" xfId="0" applyNumberFormat="1" applyFont="1" applyFill="1" applyBorder="1" applyAlignment="1">
      <x:alignment vertical="center"/>
    </x:xf>
    <x:xf numFmtId="200" fontId="0" fillId="5" borderId="16" xfId="0" applyNumberFormat="1" applyFont="1" applyFill="1" applyBorder="1" applyAlignment="1">
      <x:alignment vertical="center"/>
    </x:xf>
    <x:xf numFmtId="0" fontId="0" fillId="5" borderId="17" xfId="0" applyNumberFormat="1" applyFont="1" applyFill="1" applyBorder="1" applyAlignment="1">
      <x:alignment vertical="center"/>
    </x:xf>
    <x:xf numFmtId="0" fontId="0" fillId="4" borderId="13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 applyAlignment="1">
      <x:alignment vertical="center"/>
    </x:xf>
    <x:xf numFmtId="0" fontId="0" fillId="6" borderId="17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7" borderId="10" xfId="0" applyNumberFormat="1" applyFont="1" applyFill="1" applyBorder="1" applyAlignment="1">
      <x:alignment vertical="center"/>
    </x:xf>
    <x:xf numFmtId="0" fontId="0" fillId="7" borderId="11" xfId="0" applyNumberFormat="1" applyFont="1" applyFill="1" applyBorder="1" applyAlignment="1">
      <x:alignment vertical="center"/>
    </x:xf>
    <x:xf numFmtId="200" fontId="0" fillId="7" borderId="11" xfId="0" applyNumberFormat="1" applyFont="1" applyFill="1" applyBorder="1" applyAlignment="1">
      <x:alignment vertical="center"/>
    </x:xf>
    <x:xf numFmtId="0" fontId="0" fillId="7" borderId="12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horizontal="center" vertical="center"/>
    </x:xf>
    <x:xf numFmtId="0" fontId="4" fillId="2" borderId="11" xfId="0" applyNumberFormat="1" applyFont="1" applyFill="1" applyBorder="1" applyAlignment="1">
      <x:alignment horizontal="center" vertical="center"/>
    </x:xf>
    <x:xf numFmtId="0" fontId="4" fillId="2" borderId="12" xfId="0" applyNumberFormat="1" applyFont="1" applyFill="1" applyBorder="1" applyAlignment="1">
      <x:alignment horizontal="center" vertical="center"/>
    </x:xf>
    <x:xf numFmtId="200" fontId="0" fillId="7" borderId="1" xfId="0" applyNumberFormat="1" applyFont="1" applyFill="1" applyBorder="1" applyAlignment="1">
      <x:alignment vertical="center"/>
    </x:xf>
    <x:xf numFmtId="201" fontId="0" fillId="5" borderId="13" xfId="0" applyNumberFormat="1" applyFont="1" applyFill="1" applyBorder="1" applyAlignment="1">
      <x:alignment vertical="center"/>
    </x:xf>
    <x:xf numFmtId="0" fontId="0" fillId="7" borderId="15" xfId="0" applyNumberFormat="1" applyFont="1" applyFill="1" applyBorder="1" applyAlignment="1">
      <x:alignment vertical="center"/>
    </x:xf>
    <x:xf numFmtId="0" fontId="0" fillId="7" borderId="16" xfId="0" applyNumberFormat="1" applyFont="1" applyFill="1" applyBorder="1" applyAlignment="1">
      <x:alignment vertical="center"/>
    </x:xf>
    <x:xf numFmtId="200" fontId="0" fillId="7" borderId="16" xfId="0" applyNumberFormat="1" applyFont="1" applyFill="1" applyBorder="1" applyAlignment="1">
      <x:alignment vertical="center"/>
    </x:xf>
    <x:xf numFmtId="0" fontId="0" fillId="7" borderId="17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horizontal="center" vertical="center"/>
    </x:xf>
    <x:xf numFmtId="201" fontId="0" fillId="5" borderId="15" xfId="0" applyNumberFormat="1" applyFont="1" applyFill="1" applyBorder="1" applyAlignment="1">
      <x:alignment vertical="center"/>
    </x:xf>
    <x:xf numFmtId="0" fontId="0" fillId="10" borderId="26" xfId="0" applyNumberFormat="1" applyFont="1" applyFill="1" applyBorder="1" applyAlignment="1">
      <x:alignment vertical="center" wrapText="1"/>
    </x:xf>
    <x:xf numFmtId="0" fontId="0" fillId="10" borderId="27" xfId="0" applyNumberFormat="1" applyFont="1" applyFill="1" applyBorder="1" applyAlignment="1">
      <x:alignment vertical="center" wrapText="1"/>
    </x:xf>
    <x:xf numFmtId="0" fontId="0" fillId="10" borderId="28" xfId="0" applyNumberFormat="1" applyFont="1" applyFill="1" applyBorder="1" applyAlignment="1">
      <x:alignment vertical="center" wrapText="1"/>
    </x:xf>
    <x:xf numFmtId="0" fontId="0" fillId="10" borderId="29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0" borderId="3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/>
    </x:xf>
    <x:xf numFmtId="201" fontId="0" fillId="7" borderId="13" xfId="0" applyNumberFormat="1" applyFont="1" applyFill="1" applyBorder="1" applyAlignment="1">
      <x:alignment vertical="center"/>
    </x:xf>
    <x:xf numFmtId="0" fontId="0" fillId="10" borderId="31" xfId="0" applyNumberFormat="1" applyFont="1" applyFill="1" applyBorder="1" applyAlignment="1">
      <x:alignment vertical="center" wrapText="1"/>
    </x:xf>
    <x:xf numFmtId="0" fontId="0" fillId="10" borderId="32" xfId="0" applyNumberFormat="1" applyFont="1" applyFill="1" applyBorder="1" applyAlignment="1">
      <x:alignment vertical="center" wrapText="1"/>
    </x:xf>
    <x:xf numFmtId="0" fontId="0" fillId="10" borderId="33" xfId="0" applyNumberFormat="1" applyFont="1" applyFill="1" applyBorder="1" applyAlignment="1">
      <x:alignment vertical="center" wrapText="1"/>
    </x:xf>
    <x:xf numFmtId="201" fontId="0" fillId="7" borderId="1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20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1" fontId="0" fillId="5" borderId="5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20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201" fontId="0" fillId="5" borderId="7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201" fontId="0" fillId="7" borderId="5" xfId="0" applyNumberFormat="1" applyFont="1" applyFill="1" applyBorder="1" applyAlignment="1">
      <x:alignment vertical="center" wrapText="1"/>
    </x:xf>
    <x:xf numFmtId="201" fontId="0" fillId="7" borderId="7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20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9" borderId="13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9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20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1" fontId="0" fillId="5" borderId="13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200" fontId="0" fillId="7" borderId="16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201" fontId="0" fillId="7" borderId="13" xfId="0" applyNumberFormat="1" applyFont="1" applyFill="1" applyBorder="1" applyAlignment="1">
      <x:alignment vertical="center" wrapText="1"/>
    </x:xf>
    <x:xf numFmtId="201" fontId="0" fillId="7" borderId="15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6" fillId="4" borderId="10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200" fontId="0" fillId="0" borderId="9" xfId="0" applyNumberFormat="1" applyFont="1" applyFill="1" applyBorder="1"/>
    <x:xf numFmtId="200" fontId="0" fillId="0" borderId="17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left" wrapText="1"/>
    </x:xf>
    <x:xf numFmtId="0" fontId="2" fillId="7" borderId="3" xfId="0" applyNumberFormat="1" applyFont="1" applyFill="1" applyBorder="1" applyAlignment="1">
      <x:alignment horizontal="left" wrapText="1"/>
    </x:xf>
    <x:xf numFmtId="0" fontId="2" fillId="7" borderId="4" xfId="0" applyNumberFormat="1" applyFont="1" applyFill="1" applyBorder="1" applyAlignment="1">
      <x:alignment horizontal="left" wrapText="1"/>
    </x:xf>
    <x:xf numFmtId="0" fontId="2" fillId="7" borderId="5" xfId="0" applyNumberFormat="1" applyFont="1" applyFill="1" applyBorder="1" applyAlignment="1">
      <x:alignment horizontal="left" wrapText="1"/>
    </x:xf>
    <x:xf numFmtId="0" fontId="2" fillId="7" borderId="0" xfId="0" applyNumberFormat="1" applyFont="1" applyFill="1" applyBorder="1" applyAlignment="1">
      <x:alignment horizontal="left" wrapText="1"/>
    </x:xf>
    <x:xf numFmtId="0" fontId="2" fillId="7" borderId="6" xfId="0" applyNumberFormat="1" applyFont="1" applyFill="1" applyBorder="1" applyAlignment="1">
      <x:alignment horizontal="left" wrapText="1"/>
    </x:xf>
    <x:xf numFmtId="0" fontId="2" fillId="7" borderId="7" xfId="0" applyNumberFormat="1" applyFont="1" applyFill="1" applyBorder="1" applyAlignment="1">
      <x:alignment horizontal="left" wrapText="1"/>
    </x:xf>
    <x:xf numFmtId="0" fontId="2" fillId="7" borderId="8" xfId="0" applyNumberFormat="1" applyFont="1" applyFill="1" applyBorder="1" applyAlignment="1">
      <x:alignment horizontal="left" wrapText="1"/>
    </x:xf>
    <x:xf numFmtId="0" fontId="2" fillId="7" borderId="9" xfId="0" applyNumberFormat="1" applyFont="1" applyFill="1" applyBorder="1" applyAlignment="1">
      <x:alignment horizontal="left" wrapText="1"/>
    </x:xf>
    <x:xf numFmtId="0" fontId="2" fillId="7" borderId="2" xfId="0" applyNumberFormat="1" applyFont="1" applyFill="1" applyBorder="1" applyAlignment="1">
      <x:alignment horizontal="left" vertical="center" wrapText="1"/>
    </x:xf>
    <x:xf numFmtId="0" fontId="2" fillId="7" borderId="3" xfId="0" applyNumberFormat="1" applyFont="1" applyFill="1" applyBorder="1" applyAlignment="1">
      <x:alignment horizontal="left" vertical="center" wrapText="1"/>
    </x:xf>
    <x:xf numFmtId="0" fontId="2" fillId="7" borderId="4" xfId="0" applyNumberFormat="1" applyFont="1" applyFill="1" applyBorder="1" applyAlignment="1">
      <x:alignment horizontal="left" vertical="center" wrapText="1"/>
    </x:xf>
    <x:xf numFmtId="0" fontId="2" fillId="7" borderId="5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2" fillId="7" borderId="6" xfId="0" applyNumberFormat="1" applyFont="1" applyFill="1" applyBorder="1" applyAlignment="1">
      <x:alignment horizontal="left" vertical="center" wrapText="1"/>
    </x:xf>
    <x:xf numFmtId="0" fontId="2" fillId="7" borderId="7" xfId="0" applyNumberFormat="1" applyFont="1" applyFill="1" applyBorder="1" applyAlignment="1">
      <x:alignment horizontal="left" vertical="center" wrapText="1"/>
    </x:xf>
    <x:xf numFmtId="0" fontId="2" fillId="7" borderId="8" xfId="0" applyNumberFormat="1" applyFont="1" applyFill="1" applyBorder="1" applyAlignment="1">
      <x:alignment horizontal="left" vertical="center" wrapText="1"/>
    </x:xf>
    <x:xf numFmtId="0" fontId="2" fillId="7" borderId="9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/>
    <x:xf numFmtId="0" fontId="2" fillId="7" borderId="10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0" fontId="2" fillId="7" borderId="17" xfId="0" applyNumberFormat="1" applyFont="1" applyFill="1" applyBorder="1"/>
    <x:xf numFmtId="0" fontId="2" fillId="7" borderId="10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16" xfId="0" applyNumberFormat="1" applyFont="1" applyFill="1" applyBorder="1" applyAlignment="1">
      <x:alignment wrapText="1"/>
    </x:xf>
    <x:xf numFmtId="0" fontId="2" fillId="7" borderId="17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horizontal="left" wrapText="1"/>
    </x:xf>
    <x:xf numFmtId="0" fontId="2" fillId="7" borderId="11" xfId="0" applyNumberFormat="1" applyFont="1" applyFill="1" applyBorder="1" applyAlignment="1">
      <x:alignment horizontal="left" wrapText="1"/>
    </x:xf>
    <x:xf numFmtId="0" fontId="2" fillId="7" borderId="12" xfId="0" applyNumberFormat="1" applyFont="1" applyFill="1" applyBorder="1" applyAlignment="1">
      <x:alignment horizontal="left" wrapText="1"/>
    </x:xf>
    <x:xf numFmtId="0" fontId="2" fillId="7" borderId="13" xfId="0" applyNumberFormat="1" applyFont="1" applyFill="1" applyBorder="1" applyAlignment="1">
      <x:alignment horizontal="left" wrapText="1"/>
    </x:xf>
    <x:xf numFmtId="0" fontId="2" fillId="7" borderId="1" xfId="0" applyNumberFormat="1" applyFont="1" applyFill="1" applyBorder="1" applyAlignment="1">
      <x:alignment horizontal="left" wrapText="1"/>
    </x:xf>
    <x:xf numFmtId="0" fontId="2" fillId="7" borderId="14" xfId="0" applyNumberFormat="1" applyFont="1" applyFill="1" applyBorder="1" applyAlignment="1">
      <x:alignment horizontal="left" wrapText="1"/>
    </x:xf>
    <x:xf numFmtId="0" fontId="2" fillId="7" borderId="15" xfId="0" applyNumberFormat="1" applyFont="1" applyFill="1" applyBorder="1" applyAlignment="1">
      <x:alignment horizontal="left" wrapText="1"/>
    </x:xf>
    <x:xf numFmtId="0" fontId="2" fillId="7" borderId="16" xfId="0" applyNumberFormat="1" applyFont="1" applyFill="1" applyBorder="1" applyAlignment="1">
      <x:alignment horizontal="left" wrapText="1"/>
    </x:xf>
    <x:xf numFmtId="0" fontId="2" fillId="7" borderId="17" xfId="0" applyNumberFormat="1" applyFont="1" applyFill="1" applyBorder="1" applyAlignment="1">
      <x:alignment horizontal="left" wrapText="1"/>
    </x:xf>
    <x:xf numFmtId="0" fontId="2" fillId="7" borderId="10" xfId="0" applyNumberFormat="1" applyFont="1" applyFill="1" applyBorder="1" applyAlignment="1">
      <x:alignment horizontal="left" vertical="center" wrapText="1"/>
    </x:xf>
    <x:xf numFmtId="0" fontId="2" fillId="7" borderId="11" xfId="0" applyNumberFormat="1" applyFont="1" applyFill="1" applyBorder="1" applyAlignment="1">
      <x:alignment horizontal="left" vertical="center" wrapText="1"/>
    </x:xf>
    <x:xf numFmtId="0" fontId="2" fillId="7" borderId="12" xfId="0" applyNumberFormat="1" applyFont="1" applyFill="1" applyBorder="1" applyAlignment="1">
      <x:alignment horizontal="left" vertical="center" wrapText="1"/>
    </x:xf>
    <x:xf numFmtId="0" fontId="2" fillId="7" borderId="13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 applyAlignment="1">
      <x:alignment horizontal="left" vertical="center" wrapText="1"/>
    </x:xf>
    <x:xf numFmtId="0" fontId="2" fillId="7" borderId="14" xfId="0" applyNumberFormat="1" applyFont="1" applyFill="1" applyBorder="1" applyAlignment="1">
      <x:alignment horizontal="left" vertical="center" wrapText="1"/>
    </x:xf>
    <x:xf numFmtId="0" fontId="2" fillId="7" borderId="15" xfId="0" applyNumberFormat="1" applyFont="1" applyFill="1" applyBorder="1" applyAlignment="1">
      <x:alignment horizontal="left" vertical="center" wrapText="1"/>
    </x:xf>
    <x:xf numFmtId="0" fontId="2" fillId="7" borderId="16" xfId="0" applyNumberFormat="1" applyFont="1" applyFill="1" applyBorder="1" applyAlignment="1">
      <x:alignment horizontal="left" vertical="center" wrapText="1"/>
    </x:xf>
    <x:xf numFmtId="0" fontId="2" fillId="7" borderId="17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7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7" borderId="29" xfId="0" applyNumberFormat="1" applyFont="1" applyFill="1" applyBorder="1"/>
    <x:xf numFmtId="0" fontId="0" fillId="0" borderId="30" xfId="0" applyNumberFormat="1" applyFont="1" applyFill="1" applyBorder="1"/>
    <x:xf numFmtId="0" fontId="0" fillId="7" borderId="31" xfId="0" applyNumberFormat="1" applyFont="1" applyFill="1" applyBorder="1"/>
    <x:xf numFmtId="0" fontId="0" fillId="7" borderId="32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2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30" xfId="0" applyNumberFormat="1" applyFont="1" applyFill="1" applyBorder="1"/>
    <x:xf numFmtId="0" fontId="0" fillId="5" borderId="32" xfId="0" applyNumberFormat="1" applyFont="1" applyFill="1" applyBorder="1"/>
    <x:xf numFmtId="0" fontId="0" fillId="5" borderId="33" xfId="0" applyNumberFormat="1" applyFont="1" applyFill="1" applyBorder="1"/>
    <x:xf numFmtId="202" fontId="0" fillId="7" borderId="19" xfId="0" applyNumberFormat="1" applyFont="1" applyFill="1" applyBorder="1"/>
    <x:xf numFmtId="202" fontId="0" fillId="7" borderId="0" xfId="0" applyNumberFormat="1" applyFont="1" applyFill="1" applyBorder="1"/>
    <x:xf numFmtId="202" fontId="0" fillId="7" borderId="24" xfId="0" applyNumberFormat="1" applyFont="1" applyFill="1" applyBorder="1"/>
    <x:xf numFmtId="202" fontId="0" fillId="7" borderId="27" xfId="0" applyNumberFormat="1" applyFont="1" applyFill="1" applyBorder="1"/>
    <x:xf numFmtId="202" fontId="0" fillId="7" borderId="1" xfId="0" applyNumberFormat="1" applyFont="1" applyFill="1" applyBorder="1"/>
    <x:xf numFmtId="202" fontId="0" fillId="7" borderId="32" xfId="0" applyNumberFormat="1" applyFont="1" applyFill="1" applyBorder="1"/>
    <x:xf numFmtId="201" fontId="0" fillId="7" borderId="19" xfId="0" applyNumberFormat="1" applyFont="1" applyFill="1" applyBorder="1"/>
    <x:xf numFmtId="201" fontId="0" fillId="7" borderId="0" xfId="0" applyNumberFormat="1" applyFont="1" applyFill="1" applyBorder="1"/>
    <x:xf numFmtId="201" fontId="0" fillId="7" borderId="24" xfId="0" applyNumberFormat="1" applyFont="1" applyFill="1" applyBorder="1"/>
    <x:xf numFmtId="201" fontId="0" fillId="7" borderId="27" xfId="0" applyNumberFormat="1" applyFont="1" applyFill="1" applyBorder="1"/>
    <x:xf numFmtId="201" fontId="0" fillId="7" borderId="1" xfId="0" applyNumberFormat="1" applyFont="1" applyFill="1" applyBorder="1"/>
    <x:xf numFmtId="201" fontId="0" fillId="7" borderId="32" xfId="0" applyNumberFormat="1" applyFont="1" applyFill="1" applyBorder="1"/>
    <x:xf numFmtId="203" fontId="0" fillId="5" borderId="19" xfId="0" applyNumberFormat="1" applyFont="1" applyFill="1" applyBorder="1"/>
    <x:xf numFmtId="203" fontId="0" fillId="5" borderId="0" xfId="0" applyNumberFormat="1" applyFont="1" applyFill="1" applyBorder="1"/>
    <x:xf numFmtId="203" fontId="0" fillId="5" borderId="24" xfId="0" applyNumberFormat="1" applyFont="1" applyFill="1" applyBorder="1"/>
    <x:xf numFmtId="203" fontId="0" fillId="5" borderId="27" xfId="0" applyNumberFormat="1" applyFont="1" applyFill="1" applyBorder="1"/>
    <x:xf numFmtId="203" fontId="0" fillId="5" borderId="1" xfId="0" applyNumberFormat="1" applyFont="1" applyFill="1" applyBorder="1"/>
    <x:xf numFmtId="203" fontId="0" fillId="5" borderId="32" xfId="0" applyNumberFormat="1" applyFont="1" applyFill="1" applyBorder="1"/>
    <x:xf numFmtId="200" fontId="0" fillId="5" borderId="19" xfId="0" applyNumberFormat="1" applyFont="1" applyFill="1" applyBorder="1"/>
    <x:xf numFmtId="200" fontId="0" fillId="5" borderId="24" xfId="0" applyNumberFormat="1" applyFont="1" applyFill="1" applyBorder="1"/>
    <x:xf numFmtId="200" fontId="0" fillId="5" borderId="27" xfId="0" applyNumberFormat="1" applyFont="1" applyFill="1" applyBorder="1"/>
    <x:xf numFmtId="200" fontId="0" fillId="5" borderId="32" xfId="0" applyNumberFormat="1" applyFont="1" applyFill="1" applyBorder="1"/>
    <x:xf numFmtId="201" fontId="0" fillId="5" borderId="19" xfId="0" applyNumberFormat="1" applyFont="1" applyFill="1" applyBorder="1"/>
    <x:xf numFmtId="201" fontId="0" fillId="5" borderId="0" xfId="0" applyNumberFormat="1" applyFont="1" applyFill="1" applyBorder="1"/>
    <x:xf numFmtId="201" fontId="0" fillId="5" borderId="24" xfId="0" applyNumberFormat="1" applyFont="1" applyFill="1" applyBorder="1"/>
    <x:xf numFmtId="201" fontId="0" fillId="5" borderId="27" xfId="0" applyNumberFormat="1" applyFont="1" applyFill="1" applyBorder="1"/>
    <x:xf numFmtId="201" fontId="0" fillId="5" borderId="1" xfId="0" applyNumberFormat="1" applyFont="1" applyFill="1" applyBorder="1"/>
    <x:xf numFmtId="201" fontId="0" fillId="5" borderId="32" xfId="0" applyNumberFormat="1" applyFont="1" applyFill="1" applyBorder="1"/>
    <x:xf numFmtId="0" fontId="0" fillId="11" borderId="18" xfId="0" applyNumberFormat="1" applyFont="1" applyFill="1" applyBorder="1"/>
    <x:xf numFmtId="0" fontId="0" fillId="11" borderId="19" xfId="0" applyNumberFormat="1" applyFont="1" applyFill="1" applyBorder="1"/>
    <x:xf numFmtId="202" fontId="0" fillId="11" borderId="19" xfId="0" applyNumberFormat="1" applyFont="1" applyFill="1" applyBorder="1"/>
    <x:xf numFmtId="201" fontId="0" fillId="11" borderId="19" xfId="0" applyNumberFormat="1" applyFont="1" applyFill="1" applyBorder="1"/>
    <x:xf numFmtId="0" fontId="0" fillId="11" borderId="26" xfId="0" applyNumberFormat="1" applyFont="1" applyFill="1" applyBorder="1"/>
    <x:xf numFmtId="0" fontId="0" fillId="11" borderId="27" xfId="0" applyNumberFormat="1" applyFont="1" applyFill="1" applyBorder="1"/>
    <x:xf numFmtId="202" fontId="0" fillId="11" borderId="27" xfId="0" applyNumberFormat="1" applyFont="1" applyFill="1" applyBorder="1"/>
    <x:xf numFmtId="201" fontId="0" fillId="11" borderId="27" xfId="0" applyNumberFormat="1" applyFont="1" applyFill="1" applyBorder="1"/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11" borderId="18" xfId="0" applyNumberFormat="1" applyFont="1" applyFill="1" applyBorder="1" applyAlignment="1">
      <x:alignment vertical="center"/>
    </x:xf>
    <x:xf numFmtId="0" fontId="0" fillId="11" borderId="19" xfId="0" applyNumberFormat="1" applyFont="1" applyFill="1" applyBorder="1" applyAlignment="1">
      <x:alignment vertical="center"/>
    </x:xf>
    <x:xf numFmtId="202" fontId="0" fillId="11" borderId="19" xfId="0" applyNumberFormat="1" applyFont="1" applyFill="1" applyBorder="1" applyAlignment="1">
      <x:alignment vertical="center"/>
    </x:xf>
    <x:xf numFmtId="201" fontId="0" fillId="11" borderId="19" xfId="0" applyNumberFormat="1" applyFont="1" applyFill="1" applyBorder="1" applyAlignment="1">
      <x:alignment vertical="center"/>
    </x:xf>
    <x:xf numFmtId="203" fontId="0" fillId="5" borderId="19" xfId="0" applyNumberFormat="1" applyFont="1" applyFill="1" applyBorder="1" applyAlignment="1">
      <x:alignment vertical="center"/>
    </x:xf>
    <x:xf numFmtId="200" fontId="0" fillId="5" borderId="19" xfId="0" applyNumberFormat="1" applyFont="1" applyFill="1" applyBorder="1" applyAlignment="1">
      <x:alignment vertical="center"/>
    </x:xf>
    <x:xf numFmtId="201" fontId="0" fillId="5" borderId="19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 applyAlignment="1">
      <x:alignment vertical="center"/>
    </x:xf>
    <x:xf numFmtId="0" fontId="0" fillId="7" borderId="21" xfId="0" applyNumberFormat="1" applyFont="1" applyFill="1" applyBorder="1" applyAlignment="1">
      <x:alignment vertical="center"/>
    </x:xf>
    <x:xf numFmtId="202" fontId="0" fillId="7" borderId="0" xfId="0" applyNumberFormat="1" applyFont="1" applyFill="1" applyBorder="1" applyAlignment="1">
      <x:alignment vertical="center"/>
    </x:xf>
    <x:xf numFmtId="201" fontId="0" fillId="7" borderId="0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vertical="center"/>
    </x:xf>
    <x:xf numFmtId="0" fontId="0" fillId="7" borderId="23" xfId="0" applyNumberFormat="1" applyFont="1" applyFill="1" applyBorder="1" applyAlignment="1">
      <x:alignment vertical="center"/>
    </x:xf>
    <x:xf numFmtId="0" fontId="0" fillId="7" borderId="24" xfId="0" applyNumberFormat="1" applyFont="1" applyFill="1" applyBorder="1" applyAlignment="1">
      <x:alignment vertical="center"/>
    </x:xf>
    <x:xf numFmtId="202" fontId="0" fillId="7" borderId="24" xfId="0" applyNumberFormat="1" applyFont="1" applyFill="1" applyBorder="1" applyAlignment="1">
      <x:alignment vertical="center"/>
    </x:xf>
    <x:xf numFmtId="201" fontId="0" fillId="7" borderId="24" xfId="0" applyNumberFormat="1" applyFont="1" applyFill="1" applyBorder="1" applyAlignment="1">
      <x:alignment vertical="center"/>
    </x:xf>
    <x:xf numFmtId="203" fontId="0" fillId="5" borderId="24" xfId="0" applyNumberFormat="1" applyFont="1" applyFill="1" applyBorder="1" applyAlignment="1">
      <x:alignment vertical="center"/>
    </x:xf>
    <x:xf numFmtId="200" fontId="0" fillId="5" borderId="24" xfId="0" applyNumberFormat="1" applyFont="1" applyFill="1" applyBorder="1" applyAlignment="1">
      <x:alignment vertical="center"/>
    </x:xf>
    <x:xf numFmtId="201" fontId="0" fillId="5" borderId="24" xfId="0" applyNumberFormat="1" applyFont="1" applyFill="1" applyBorder="1" applyAlignment="1">
      <x:alignment vertical="center"/>
    </x:xf>
    <x:xf numFmtId="0" fontId="0" fillId="5" borderId="25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0" fontId="0" fillId="11" borderId="26" xfId="0" applyNumberFormat="1" applyFont="1" applyFill="1" applyBorder="1" applyAlignment="1">
      <x:alignment vertical="center"/>
    </x:xf>
    <x:xf numFmtId="0" fontId="0" fillId="11" borderId="27" xfId="0" applyNumberFormat="1" applyFont="1" applyFill="1" applyBorder="1" applyAlignment="1">
      <x:alignment vertical="center"/>
    </x:xf>
    <x:xf numFmtId="202" fontId="0" fillId="11" borderId="27" xfId="0" applyNumberFormat="1" applyFont="1" applyFill="1" applyBorder="1" applyAlignment="1">
      <x:alignment vertical="center"/>
    </x:xf>
    <x:xf numFmtId="201" fontId="0" fillId="11" borderId="27" xfId="0" applyNumberFormat="1" applyFont="1" applyFill="1" applyBorder="1" applyAlignment="1">
      <x:alignment vertical="center"/>
    </x:xf>
    <x:xf numFmtId="203" fontId="0" fillId="5" borderId="27" xfId="0" applyNumberFormat="1" applyFont="1" applyFill="1" applyBorder="1" applyAlignment="1">
      <x:alignment vertical="center"/>
    </x:xf>
    <x:xf numFmtId="200" fontId="0" fillId="5" borderId="27" xfId="0" applyNumberFormat="1" applyFont="1" applyFill="1" applyBorder="1" applyAlignment="1">
      <x:alignment vertical="center"/>
    </x:xf>
    <x:xf numFmtId="201" fontId="0" fillId="5" borderId="27" xfId="0" applyNumberFormat="1" applyFont="1" applyFill="1" applyBorder="1" applyAlignment="1">
      <x:alignment vertical="center"/>
    </x:xf>
    <x:xf numFmtId="0" fontId="0" fillId="5" borderId="28" xfId="0" applyNumberFormat="1" applyFont="1" applyFill="1" applyBorder="1" applyAlignment="1">
      <x:alignment vertical="center"/>
    </x:xf>
    <x:xf numFmtId="0" fontId="0" fillId="7" borderId="29" xfId="0" applyNumberFormat="1" applyFont="1" applyFill="1" applyBorder="1" applyAlignment="1">
      <x:alignment vertical="center"/>
    </x:xf>
    <x:xf numFmtId="202" fontId="0" fillId="7" borderId="1" xfId="0" applyNumberFormat="1" applyFont="1" applyFill="1" applyBorder="1" applyAlignment="1">
      <x:alignment vertical="center"/>
    </x:xf>
    <x:xf numFmtId="201" fontId="0" fillId="7" borderId="1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0" fontId="0" fillId="5" borderId="30" xfId="0" applyNumberFormat="1" applyFont="1" applyFill="1" applyBorder="1" applyAlignment="1">
      <x:alignment vertical="center"/>
    </x:xf>
    <x:xf numFmtId="0" fontId="0" fillId="7" borderId="31" xfId="0" applyNumberFormat="1" applyFont="1" applyFill="1" applyBorder="1" applyAlignment="1">
      <x:alignment vertical="center"/>
    </x:xf>
    <x:xf numFmtId="0" fontId="0" fillId="7" borderId="32" xfId="0" applyNumberFormat="1" applyFont="1" applyFill="1" applyBorder="1" applyAlignment="1">
      <x:alignment vertical="center"/>
    </x:xf>
    <x:xf numFmtId="202" fontId="0" fillId="7" borderId="32" xfId="0" applyNumberFormat="1" applyFont="1" applyFill="1" applyBorder="1" applyAlignment="1">
      <x:alignment vertical="center"/>
    </x:xf>
    <x:xf numFmtId="201" fontId="0" fillId="7" borderId="32" xfId="0" applyNumberFormat="1" applyFont="1" applyFill="1" applyBorder="1" applyAlignment="1">
      <x:alignment vertical="center"/>
    </x:xf>
    <x:xf numFmtId="203" fontId="0" fillId="5" borderId="32" xfId="0" applyNumberFormat="1" applyFont="1" applyFill="1" applyBorder="1" applyAlignment="1">
      <x:alignment vertical="center"/>
    </x:xf>
    <x:xf numFmtId="200" fontId="0" fillId="5" borderId="32" xfId="0" applyNumberFormat="1" applyFont="1" applyFill="1" applyBorder="1" applyAlignment="1">
      <x:alignment vertical="center"/>
    </x:xf>
    <x:xf numFmtId="201" fontId="0" fillId="5" borderId="32" xfId="0" applyNumberFormat="1" applyFont="1" applyFill="1" applyBorder="1" applyAlignment="1">
      <x:alignment vertical="center"/>
    </x:xf>
    <x:xf numFmtId="0" fontId="0" fillId="5" borderId="33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 applyAlignment="1">
      <x:alignment vertical="center" wrapText="1"/>
    </x:xf>
    <x:xf numFmtId="0" fontId="0" fillId="5" borderId="22" xfId="0" applyNumberFormat="1" applyFont="1" applyFill="1" applyBorder="1" applyAlignment="1">
      <x:alignment vertical="center" wrapText="1"/>
    </x:xf>
    <x:xf numFmtId="0" fontId="0" fillId="5" borderId="25" xfId="0" applyNumberFormat="1" applyFont="1" applyFill="1" applyBorder="1" applyAlignment="1">
      <x:alignment vertical="center" wrapText="1"/>
    </x:xf>
    <x:xf numFmtId="0" fontId="0" fillId="5" borderId="28" xfId="0" applyNumberFormat="1" applyFont="1" applyFill="1" applyBorder="1" applyAlignment="1">
      <x:alignment vertical="center" wrapText="1"/>
    </x:xf>
    <x:xf numFmtId="0" fontId="0" fillId="5" borderId="30" xfId="0" applyNumberFormat="1" applyFont="1" applyFill="1" applyBorder="1" applyAlignment="1">
      <x:alignment vertical="center" wrapText="1"/>
    </x:xf>
    <x:xf numFmtId="0" fontId="0" fillId="5" borderId="33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201" fontId="0" fillId="5" borderId="20" xfId="0" applyNumberFormat="1" applyFont="1" applyFill="1" applyBorder="1"/>
    <x:xf numFmtId="201" fontId="0" fillId="5" borderId="22" xfId="0" applyNumberFormat="1" applyFont="1" applyFill="1" applyBorder="1"/>
    <x:xf numFmtId="201" fontId="0" fillId="5" borderId="25" xfId="0" applyNumberFormat="1" applyFont="1" applyFill="1" applyBorder="1"/>
    <x:xf numFmtId="201" fontId="0" fillId="5" borderId="28" xfId="0" applyNumberFormat="1" applyFont="1" applyFill="1" applyBorder="1"/>
    <x:xf numFmtId="201" fontId="0" fillId="5" borderId="30" xfId="0" applyNumberFormat="1" applyFont="1" applyFill="1" applyBorder="1"/>
    <x:xf numFmtId="201" fontId="0" fillId="5" borderId="33" xfId="0" applyNumberFormat="1" applyFont="1" applyFill="1" applyBorder="1"/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201" fontId="0" fillId="5" borderId="20" xfId="0" applyNumberFormat="1" applyFont="1" applyFill="1" applyBorder="1" applyAlignment="1">
      <x:alignment vertical="center"/>
    </x:xf>
    <x:xf numFmtId="201" fontId="0" fillId="5" borderId="22" xfId="0" applyNumberFormat="1" applyFont="1" applyFill="1" applyBorder="1" applyAlignment="1">
      <x:alignment vertical="center"/>
    </x:xf>
    <x:xf numFmtId="201" fontId="0" fillId="5" borderId="25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1" fontId="0" fillId="5" borderId="28" xfId="0" applyNumberFormat="1" applyFont="1" applyFill="1" applyBorder="1" applyAlignment="1">
      <x:alignment vertical="center"/>
    </x:xf>
    <x:xf numFmtId="201" fontId="0" fillId="5" borderId="30" xfId="0" applyNumberFormat="1" applyFont="1" applyFill="1" applyBorder="1" applyAlignment="1">
      <x:alignment vertical="center"/>
    </x:xf>
    <x:xf numFmtId="201" fontId="0" fillId="5" borderId="3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04ccda6a14ba1" /><Relationship Type="http://schemas.openxmlformats.org/officeDocument/2006/relationships/theme" Target="/xl/theme/theme1.xml" Id="R1b9d9d5fab034672" /><Relationship Type="http://schemas.openxmlformats.org/officeDocument/2006/relationships/sharedStrings" Target="/xl/sharedStrings.xml" Id="R3b760bb9407f4e69" /><Relationship Type="http://schemas.openxmlformats.org/officeDocument/2006/relationships/worksheet" Target="/xl/worksheets/sheet1.xml" Id="Rb7127010128d4030" /><Relationship Type="http://schemas.openxmlformats.org/officeDocument/2006/relationships/worksheet" Target="/xl/worksheets/sheet2.xml" Id="Ra9ab51a387fa4601" /><Relationship Type="http://schemas.openxmlformats.org/officeDocument/2006/relationships/worksheet" Target="/xl/worksheets/sheet3.xml" Id="Raa9a1e68c1d94e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8" hidden="0" customWidth="1"/>
    <x:col min="4" max="4" width="35" hidden="0" customWidth="1"/>
    <x:col min="5" max="5" width="3" hidden="0" customWidth="1"/>
    <x:col min="6" max="6" width="25" hidden="0" customWidth="1"/>
    <x:col min="7" max="7" width="16" hidden="0" customWidth="1"/>
    <x:col min="8" max="8" width="24" hidden="0" customWidth="1"/>
  </x:cols>
  <x:sheetData>
    <x:row r="1" ht="28" customHeight="1">
      <x:c r="A1" s="292" t="str">
        <x:v>NATURAL CLINIC – SALES COMMISSION SYSTEM</x:v>
      </x:c>
      <x:c r="B1" s="292"/>
      <x:c r="C1" s="292"/>
      <x:c r="D1" s="292"/>
      <x:c r="E1" s="292"/>
      <x:c r="F1" s="292"/>
      <x:c r="G1" s="292"/>
      <x:c r="H1" s="292"/>
    </x:row>
    <x:row r="2" ht="28" customHeight="1">
      <x:c r="A2" s="292"/>
      <x:c r="B2" s="292"/>
      <x:c r="C2" s="292"/>
      <x:c r="D2" s="292"/>
      <x:c r="E2" s="292"/>
      <x:c r="F2" s="292"/>
      <x:c r="G2" s="292"/>
      <x:c r="H2" s="292"/>
    </x:row>
    <x:row r="3" ht="22" customHeight="1">
      <x:c r="A3" s="293" t="str">
        <x:v>Monthly commission rules by region and shared quarterly extra commission targets</x:v>
      </x:c>
      <x:c r="B3" s="293"/>
      <x:c r="C3" s="293"/>
      <x:c r="D3" s="293"/>
      <x:c r="E3" s="293"/>
      <x:c r="F3" s="293"/>
      <x:c r="G3" s="293"/>
      <x:c r="H3" s="293"/>
    </x:row>
    <x:row r="4">
      <x:c r="A4" s="294"/>
      <x:c r="B4" s="294"/>
      <x:c r="C4" s="294"/>
      <x:c r="D4" s="294"/>
      <x:c r="E4" s="294"/>
      <x:c r="F4" s="294"/>
      <x:c r="G4" s="294"/>
      <x:c r="H4" s="294"/>
    </x:row>
    <x:row r="5" ht="24" customHeight="1">
      <x:c r="A5" s="295" t="str">
        <x:v>ISTANBUL REGION – MONTHLY COMMISSION</x:v>
      </x:c>
      <x:c r="B5" s="295"/>
      <x:c r="C5" s="295"/>
      <x:c r="D5" s="295"/>
      <x:c r="E5" s="294"/>
      <x:c r="F5" s="296" t="str">
        <x:v>SHARED QUARTER CALENDAR</x:v>
      </x:c>
      <x:c r="G5" s="296"/>
      <x:c r="H5" s="296"/>
    </x:row>
    <x:row r="6" ht="24" customHeight="1">
      <x:c r="A6" s="297" t="str">
        <x:v>Employee Tenure</x:v>
      </x:c>
      <x:c r="B6" s="297" t="str">
        <x:v>Monthly Sales (€)</x:v>
      </x:c>
      <x:c r="C6" s="297" t="str">
        <x:v>Commission Rate</x:v>
      </x:c>
      <x:c r="D6" s="297" t="str">
        <x:v>Rule</x:v>
      </x:c>
      <x:c r="E6" s="294"/>
      <x:c r="F6" s="298" t="str">
        <x:v>Quarter</x:v>
      </x:c>
      <x:c r="G6" s="299" t="str">
        <x:v>Months</x:v>
      </x:c>
      <x:c r="H6" s="300" t="str">
        <x:v>Applies To</x:v>
      </x:c>
    </x:row>
    <x:row r="7" ht="24" customHeight="1">
      <x:c r="A7" s="301" t="str">
        <x:v>0–60 days</x:v>
      </x:c>
      <x:c r="B7" s="302" t="str">
        <x:v>Any sales amount</x:v>
      </x:c>
      <x:c r="C7" s="303" t="n">
        <x:v>0.01</x:v>
      </x:c>
      <x:c r="D7" s="304" t="str">
        <x:v>New hire rate; no minimum sales target</x:v>
      </x:c>
      <x:c r="E7" s="294"/>
      <x:c r="F7" s="305" t="str">
        <x:v>Q1</x:v>
      </x:c>
      <x:c r="G7" s="306" t="str">
        <x:v>September, October, November</x:v>
      </x:c>
      <x:c r="H7" s="307" t="str">
        <x:v>All regions</x:v>
      </x:c>
    </x:row>
    <x:row r="8" ht="24" customHeight="1">
      <x:c r="A8" s="308" t="str">
        <x:v>61+ days</x:v>
      </x:c>
      <x:c r="B8" s="309" t="str">
        <x:v>€12,500–€14,999.99</x:v>
      </x:c>
      <x:c r="C8" s="310" t="n">
        <x:v>0.01</x:v>
      </x:c>
      <x:c r="D8" s="311" t="str">
        <x:v>Standard target band</x:v>
      </x:c>
      <x:c r="E8" s="294"/>
      <x:c r="F8" s="312" t="str">
        <x:v>Q2</x:v>
      </x:c>
      <x:c r="G8" s="313" t="str">
        <x:v>December, January, February</x:v>
      </x:c>
      <x:c r="H8" s="314" t="str">
        <x:v>All regions</x:v>
      </x:c>
    </x:row>
    <x:row r="9" ht="24" customHeight="1">
      <x:c r="A9" s="315" t="str">
        <x:v>61+ days</x:v>
      </x:c>
      <x:c r="B9" s="316" t="str">
        <x:v>€15,000 and above</x:v>
      </x:c>
      <x:c r="C9" s="317" t="n">
        <x:v>0.03</x:v>
      </x:c>
      <x:c r="D9" s="318" t="str">
        <x:v>High performance band</x:v>
      </x:c>
      <x:c r="E9" s="294"/>
      <x:c r="F9" s="319" t="str">
        <x:v>Q3</x:v>
      </x:c>
      <x:c r="G9" s="320" t="str">
        <x:v>March, April, May</x:v>
      </x:c>
      <x:c r="H9" s="321" t="str">
        <x:v>All regions</x:v>
      </x:c>
    </x:row>
    <x:row r="10" ht="24" customHeight="1">
      <x:c r="A10" s="294"/>
      <x:c r="B10" s="294"/>
      <x:c r="C10" s="294"/>
      <x:c r="D10" s="294"/>
      <x:c r="E10" s="294"/>
      <x:c r="F10" s="322" t="str">
        <x:v>Q4</x:v>
      </x:c>
      <x:c r="G10" s="323" t="str">
        <x:v>June, July, August</x:v>
      </x:c>
      <x:c r="H10" s="324" t="str">
        <x:v>All regions</x:v>
      </x:c>
    </x:row>
    <x:row r="11" ht="24" customHeight="1">
      <x:c r="A11" s="325" t="str">
        <x:v>MOROCCO REGION – MONTHLY COMMISSION</x:v>
      </x:c>
      <x:c r="B11" s="325"/>
      <x:c r="C11" s="325"/>
      <x:c r="D11" s="325"/>
      <x:c r="E11" s="294"/>
      <x:c r="F11" s="294"/>
      <x:c r="G11" s="294"/>
      <x:c r="H11" s="294"/>
    </x:row>
    <x:row r="12" ht="24" customHeight="1">
      <x:c r="A12" s="297" t="str">
        <x:v>Role / Tenure</x:v>
      </x:c>
      <x:c r="B12" s="297" t="str">
        <x:v>Monthly Sales (€)</x:v>
      </x:c>
      <x:c r="C12" s="297" t="str">
        <x:v>Commission Rate</x:v>
      </x:c>
      <x:c r="D12" s="297" t="str">
        <x:v>Rule</x:v>
      </x:c>
      <x:c r="E12" s="294"/>
      <x:c r="F12" s="326" t="str">
        <x:v>QUARTERLY EXTRA COMMISSION TARGETS – Q1 / Q2 / Q3</x:v>
      </x:c>
      <x:c r="G12" s="326"/>
      <x:c r="H12" s="326"/>
    </x:row>
    <x:row r="13" ht="24" customHeight="1">
      <x:c r="A13" s="327" t="str">
        <x:v>Manager</x:v>
      </x:c>
      <x:c r="B13" s="328" t="str">
        <x:v>Any sales amount</x:v>
      </x:c>
      <x:c r="C13" s="329" t="n">
        <x:v>0.015</x:v>
      </x:c>
      <x:c r="D13" s="330" t="str">
        <x:v>Fixed manager rate</x:v>
      </x:c>
      <x:c r="E13" s="294"/>
      <x:c r="F13" s="331" t="str">
        <x:v>Monthly Average Sales (€)</x:v>
      </x:c>
      <x:c r="G13" s="332" t="str">
        <x:v>Extra Rate</x:v>
      </x:c>
      <x:c r="H13" s="333" t="str">
        <x:v>Application</x:v>
      </x:c>
    </x:row>
    <x:row r="14" ht="24" customHeight="1">
      <x:c r="A14" s="305" t="str">
        <x:v>Salesperson – 0–90 days</x:v>
      </x:c>
      <x:c r="B14" s="306" t="str">
        <x:v>Any sales amount</x:v>
      </x:c>
      <x:c r="C14" s="334" t="n">
        <x:v>0.015</x:v>
      </x:c>
      <x:c r="D14" s="307" t="str">
        <x:v>New hire rate; no minimum sales target</x:v>
      </x:c>
      <x:c r="E14" s="294"/>
      <x:c r="F14" s="335" t="n">
        <x:v>15000</x:v>
      </x:c>
      <x:c r="G14" s="310" t="n">
        <x:v>0.02</x:v>
      </x:c>
      <x:c r="H14" s="311" t="str">
        <x:v>Quarter total × rate</x:v>
      </x:c>
    </x:row>
    <x:row r="15" ht="24" customHeight="1">
      <x:c r="A15" s="305" t="str">
        <x:v>Salesperson – 91+ days</x:v>
      </x:c>
      <x:c r="B15" s="306" t="str">
        <x:v>€12,000–€14,000</x:v>
      </x:c>
      <x:c r="C15" s="334" t="n">
        <x:v>0.005</x:v>
      </x:c>
      <x:c r="D15" s="307" t="str">
        <x:v>Standard target band</x:v>
      </x:c>
      <x:c r="E15" s="294"/>
      <x:c r="F15" s="335" t="n">
        <x:v>20000</x:v>
      </x:c>
      <x:c r="G15" s="310" t="n">
        <x:v>0.03</x:v>
      </x:c>
      <x:c r="H15" s="311" t="str">
        <x:v>Quarter total × rate</x:v>
      </x:c>
    </x:row>
    <x:row r="16" ht="24" customHeight="1">
      <x:c r="A16" s="336" t="str">
        <x:v>Salesperson – 91+ days</x:v>
      </x:c>
      <x:c r="B16" s="337" t="str">
        <x:v>€15,000 and above</x:v>
      </x:c>
      <x:c r="C16" s="338" t="n">
        <x:v>0.015</x:v>
      </x:c>
      <x:c r="D16" s="339" t="str">
        <x:v>High performance band</x:v>
      </x:c>
      <x:c r="E16" s="294"/>
      <x:c r="F16" s="335" t="n">
        <x:v>25000</x:v>
      </x:c>
      <x:c r="G16" s="310" t="n">
        <x:v>0.045</x:v>
      </x:c>
      <x:c r="H16" s="311" t="str">
        <x:v>Quarter total × rate</x:v>
      </x:c>
    </x:row>
    <x:row r="17" ht="24" customHeight="1">
      <x:c r="A17" s="294"/>
      <x:c r="B17" s="294"/>
      <x:c r="C17" s="294"/>
      <x:c r="D17" s="294"/>
      <x:c r="E17" s="294"/>
      <x:c r="F17" s="335" t="n">
        <x:v>30000</x:v>
      </x:c>
      <x:c r="G17" s="310" t="n">
        <x:v>0.05</x:v>
      </x:c>
      <x:c r="H17" s="311" t="str">
        <x:v>Quarter total × rate</x:v>
      </x:c>
    </x:row>
    <x:row r="18" ht="24" customHeight="1">
      <x:c r="A18" s="294"/>
      <x:c r="B18" s="294"/>
      <x:c r="C18" s="294"/>
      <x:c r="D18" s="294"/>
      <x:c r="E18" s="294"/>
      <x:c r="F18" s="335" t="n">
        <x:v>40000</x:v>
      </x:c>
      <x:c r="G18" s="310" t="n">
        <x:v>0.055</x:v>
      </x:c>
      <x:c r="H18" s="311" t="str">
        <x:v>Quarter total × rate</x:v>
      </x:c>
    </x:row>
    <x:row r="19" ht="24" customHeight="1">
      <x:c r="A19" s="340" t="str">
        <x:v>CALCULATION NOTES</x:v>
      </x:c>
      <x:c r="B19" s="340"/>
      <x:c r="C19" s="340"/>
      <x:c r="D19" s="340"/>
      <x:c r="E19" s="294"/>
      <x:c r="F19" s="341" t="n">
        <x:v>50000</x:v>
      </x:c>
      <x:c r="G19" s="317" t="n">
        <x:v>0.06</x:v>
      </x:c>
      <x:c r="H19" s="318" t="str">
        <x:v>Quarter total × rate</x:v>
      </x:c>
    </x:row>
    <x:row r="20" ht="24" customHeight="1">
      <x:c r="A20" s="222" t="str">
        <x:v>1</x:v>
      </x:c>
      <x:c r="B20" s="223" t="str">
        <x:v>Istanbul: sales below €12,500 after day 60 earn 0% monthly commission.</x:v>
      </x:c>
      <x:c r="C20" s="223"/>
      <x:c r="D20" s="224"/>
      <x:c r="E20" s="294"/>
      <x:c r="F20" s="294"/>
      <x:c r="G20" s="294"/>
      <x:c r="H20" s="294"/>
    </x:row>
    <x:row r="21" ht="24" customHeight="1">
      <x:c r="A21" s="225" t="str">
        <x:v>2</x:v>
      </x:c>
      <x:c r="B21" s="226" t="str">
        <x:v>Morocco: sales below €12,000 after day 90 earn 0% monthly commission.</x:v>
      </x:c>
      <x:c r="C21" s="226"/>
      <x:c r="D21" s="227"/>
      <x:c r="E21" s="294"/>
      <x:c r="F21" s="342" t="str">
        <x:v>QUARTERLY EXTRA COMMISSION TARGETS – Q4</x:v>
      </x:c>
      <x:c r="G21" s="342"/>
      <x:c r="H21" s="342"/>
    </x:row>
    <x:row r="22" ht="24" customHeight="1">
      <x:c r="A22" s="225" t="str">
        <x:v>3</x:v>
      </x:c>
      <x:c r="B22" s="226" t="str">
        <x:v>Exactly €15,000 is treated as the upper performance band.</x:v>
      </x:c>
      <x:c r="C22" s="226"/>
      <x:c r="D22" s="227"/>
      <x:c r="E22" s="294"/>
      <x:c r="F22" s="331" t="str">
        <x:v>Monthly Average Sales (€)</x:v>
      </x:c>
      <x:c r="G22" s="332" t="str">
        <x:v>Extra Rate</x:v>
      </x:c>
      <x:c r="H22" s="333" t="str">
        <x:v>Application</x:v>
      </x:c>
    </x:row>
    <x:row r="23" ht="24" customHeight="1">
      <x:c r="A23" s="225" t="str">
        <x:v>4</x:v>
      </x:c>
      <x:c r="B23" s="226" t="str">
        <x:v>Quarterly target is evaluated using the average of three monthly sales amounts.</x:v>
      </x:c>
      <x:c r="C23" s="226"/>
      <x:c r="D23" s="227"/>
      <x:c r="E23" s="294"/>
      <x:c r="F23" s="343" t="n">
        <x:v>14000</x:v>
      </x:c>
      <x:c r="G23" s="334" t="n">
        <x:v>0.02</x:v>
      </x:c>
      <x:c r="H23" s="307" t="str">
        <x:v>Quarter total × rate</x:v>
      </x:c>
    </x:row>
    <x:row r="24" ht="24" customHeight="1">
      <x:c r="A24" s="225" t="str">
        <x:v>5</x:v>
      </x:c>
      <x:c r="B24" s="226" t="str">
        <x:v>Quarterly extra commission is calculated on total quarterly sales.</x:v>
      </x:c>
      <x:c r="C24" s="226"/>
      <x:c r="D24" s="227"/>
      <x:c r="E24" s="294"/>
      <x:c r="F24" s="343" t="n">
        <x:v>18000</x:v>
      </x:c>
      <x:c r="G24" s="334" t="n">
        <x:v>0.03</x:v>
      </x:c>
      <x:c r="H24" s="307" t="str">
        <x:v>Quarter total × rate</x:v>
      </x:c>
    </x:row>
    <x:row r="25" ht="24" customHeight="1">
      <x:c r="A25" s="230" t="str">
        <x:v>6</x:v>
      </x:c>
      <x:c r="B25" s="231" t="str">
        <x:v>Quarter targets are common to Istanbul and Morocco.</x:v>
      </x:c>
      <x:c r="C25" s="231"/>
      <x:c r="D25" s="232"/>
      <x:c r="E25" s="294"/>
      <x:c r="F25" s="343" t="n">
        <x:v>22500</x:v>
      </x:c>
      <x:c r="G25" s="334" t="n">
        <x:v>0.04</x:v>
      </x:c>
      <x:c r="H25" s="307" t="str">
        <x:v>Quarter total × rate</x:v>
      </x:c>
    </x:row>
    <x:row r="26" ht="24" customHeight="1">
      <x:c r="A26" s="294"/>
      <x:c r="B26" s="294"/>
      <x:c r="C26" s="294"/>
      <x:c r="D26" s="294"/>
      <x:c r="E26" s="294"/>
      <x:c r="F26" s="343" t="n">
        <x:v>27000</x:v>
      </x:c>
      <x:c r="G26" s="334" t="n">
        <x:v>0.05</x:v>
      </x:c>
      <x:c r="H26" s="307" t="str">
        <x:v>Quarter total × rate</x:v>
      </x:c>
    </x:row>
    <x:row r="27" ht="24" customHeight="1">
      <x:c r="A27" s="294"/>
      <x:c r="B27" s="294"/>
      <x:c r="C27" s="294"/>
      <x:c r="D27" s="294"/>
      <x:c r="E27" s="294"/>
      <x:c r="F27" s="343" t="n">
        <x:v>36000</x:v>
      </x:c>
      <x:c r="G27" s="334" t="n">
        <x:v>0.055</x:v>
      </x:c>
      <x:c r="H27" s="307" t="str">
        <x:v>Quarter total × rate</x:v>
      </x:c>
    </x:row>
    <x:row r="28" ht="24" customHeight="1">
      <x:c r="A28" s="294"/>
      <x:c r="B28" s="294"/>
      <x:c r="C28" s="294"/>
      <x:c r="D28" s="294"/>
      <x:c r="E28" s="294"/>
      <x:c r="F28" s="344" t="n">
        <x:v>45000</x:v>
      </x:c>
      <x:c r="G28" s="338" t="n">
        <x:v>0.06</x:v>
      </x:c>
      <x:c r="H28" s="339" t="str">
        <x:v>Quarter total × rate</x:v>
      </x:c>
    </x:row>
  </x:sheetData>
  <x:mergeCells>
    <x:mergeCell ref="A1:H2"/>
    <x:mergeCell ref="A3:H3"/>
    <x:mergeCell ref="A5:D5"/>
    <x:mergeCell ref="A11:D11"/>
    <x:mergeCell ref="F5:H5"/>
    <x:mergeCell ref="F12:H12"/>
    <x:mergeCell ref="F21:H21"/>
    <x:mergeCell ref="A19:D19"/>
    <x:mergeCell ref="B20:D20"/>
    <x:mergeCell ref="B21:D21"/>
    <x:mergeCell ref="B22:D22"/>
    <x:mergeCell ref="B23:D23"/>
    <x:mergeCell ref="B24:D24"/>
    <x:mergeCell ref="B25:D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7" hidden="0" customWidth="1"/>
    <x:col min="7" max="7" width="13" hidden="0" customWidth="1"/>
    <x:col min="8" max="8" width="13" hidden="0" customWidth="1"/>
    <x:col min="9" max="9" width="20" hidden="0" customWidth="1"/>
    <x:col min="10" max="10" width="32" hidden="0" customWidth="1"/>
  </x:cols>
  <x:sheetData>
    <x:row r="1" ht="28" customHeight="1">
      <x:c r="A1" s="400" t="str">
        <x:v>MONTHLY COMMISSION CALCULATOR</x:v>
      </x:c>
      <x:c r="B1" s="400"/>
      <x:c r="C1" s="400"/>
      <x:c r="D1" s="400"/>
      <x:c r="E1" s="400"/>
      <x:c r="F1" s="400"/>
      <x:c r="G1" s="400"/>
      <x:c r="H1" s="400"/>
      <x:c r="I1" s="400"/>
      <x:c r="J1" s="400"/>
      <x:c r="L1"/>
    </x:row>
    <x:row r="2" ht="28" customHeight="1">
      <x:c r="A2" s="400"/>
      <x:c r="B2" s="400"/>
      <x:c r="C2" s="400"/>
      <x:c r="D2" s="400"/>
      <x:c r="E2" s="400"/>
      <x:c r="F2" s="400"/>
      <x:c r="G2" s="400"/>
      <x:c r="H2" s="400"/>
      <x:c r="I2" s="400"/>
      <x:c r="J2" s="400"/>
      <x:c r="L2"/>
    </x:row>
    <x:row r="3">
      <x:c r="A3" s="177"/>
      <x:c r="B3" s="177"/>
      <x:c r="C3" s="177"/>
      <x:c r="D3" s="177"/>
      <x:c r="E3" s="177"/>
      <x:c r="F3" s="177"/>
      <x:c r="G3" s="177"/>
      <x:c r="H3" s="177"/>
      <x:c r="I3" s="177"/>
      <x:c r="J3" s="177"/>
    </x:row>
    <x:row r="4">
      <x:c r="A4" s="567" t="str">
        <x:v>KPI</x:v>
      </x:c>
      <x:c r="B4" s="568" t="str">
        <x:v>Value</x:v>
      </x:c>
      <x:c r="C4" s="177"/>
      <x:c r="D4" s="451" t="str">
        <x:v>Yellow cells are user inputs. Commission rate and amount are calculated automatically.
Use the last day of the relevant commission month as the Calculation Date.</x:v>
      </x:c>
      <x:c r="E4" s="452"/>
      <x:c r="F4" s="452"/>
      <x:c r="G4" s="452"/>
      <x:c r="H4" s="452"/>
      <x:c r="I4" s="452"/>
      <x:c r="J4" s="453"/>
    </x:row>
    <x:row r="5">
      <x:c r="A5" s="569" t="str">
        <x:v>Total Sales</x:v>
      </x:c>
      <x:c r="B5" s="570" t="n">
        <x:f>SUM(F11:F110)</x:f>
        <x:v>16000</x:v>
      </x:c>
      <x:c r="C5" s="177"/>
      <x:c r="D5" s="454"/>
      <x:c r="E5" s="455"/>
      <x:c r="F5" s="455"/>
      <x:c r="G5" s="455"/>
      <x:c r="H5" s="455"/>
      <x:c r="I5" s="455"/>
      <x:c r="J5" s="456"/>
    </x:row>
    <x:row r="6">
      <x:c r="A6" s="569" t="str">
        <x:v>Total Monthly Commission</x:v>
      </x:c>
      <x:c r="B6" s="570" t="n">
        <x:f>SUM(I11:I110)</x:f>
        <x:v>160</x:v>
      </x:c>
      <x:c r="C6" s="177"/>
      <x:c r="D6" s="454"/>
      <x:c r="E6" s="455"/>
      <x:c r="F6" s="455"/>
      <x:c r="G6" s="455"/>
      <x:c r="H6" s="455"/>
      <x:c r="I6" s="455"/>
      <x:c r="J6" s="456"/>
    </x:row>
    <x:row r="7">
      <x:c r="A7" s="571" t="str">
        <x:v>Average Commission Rate</x:v>
      </x:c>
      <x:c r="B7" s="572" t="n">
        <x:f>IFERROR(AVERAGEIF(H11:H110,"&gt;0",H11:H110),0)</x:f>
        <x:v>0.01</x:v>
      </x:c>
      <x:c r="C7" s="177"/>
      <x:c r="D7" s="457"/>
      <x:c r="E7" s="458"/>
      <x:c r="F7" s="458"/>
      <x:c r="G7" s="458"/>
      <x:c r="H7" s="458"/>
      <x:c r="I7" s="458"/>
      <x:c r="J7" s="459"/>
    </x:row>
    <x:row r="8">
      <x:c r="A8" s="177"/>
      <x:c r="B8" s="177"/>
      <x:c r="C8" s="177"/>
      <x:c r="D8" s="177"/>
      <x:c r="E8" s="177"/>
      <x:c r="F8" s="177"/>
      <x:c r="G8" s="177"/>
      <x:c r="H8" s="177"/>
      <x:c r="I8" s="177"/>
      <x:c r="J8" s="177"/>
    </x:row>
    <x:row r="9">
      <x:c r="A9" s="177"/>
      <x:c r="B9" s="177"/>
      <x:c r="C9" s="177"/>
      <x:c r="D9" s="177"/>
      <x:c r="E9" s="177"/>
      <x:c r="F9" s="177"/>
      <x:c r="G9" s="177"/>
      <x:c r="H9" s="177"/>
      <x:c r="I9" s="177"/>
      <x:c r="J9" s="177"/>
    </x:row>
    <x:row r="10" ht="22" customHeight="1">
      <x:c r="A10" s="297" t="str">
        <x:v>Employee</x:v>
      </x:c>
      <x:c r="B10" s="297" t="str">
        <x:v>Region</x:v>
      </x:c>
      <x:c r="C10" s="297" t="str">
        <x:v>Role</x:v>
      </x:c>
      <x:c r="D10" s="297" t="str">
        <x:v>Start Date</x:v>
      </x:c>
      <x:c r="E10" s="297" t="str">
        <x:v>Calculation Date</x:v>
      </x:c>
      <x:c r="F10" s="297" t="str">
        <x:v>Monthly Sales (€)</x:v>
      </x:c>
      <x:c r="G10" s="297" t="str">
        <x:v>Service Days</x:v>
      </x:c>
      <x:c r="H10" s="297" t="str">
        <x:v>Monthly Rate</x:v>
      </x:c>
      <x:c r="I10" s="297" t="str">
        <x:v>Monthly Commission (€)</x:v>
      </x:c>
      <x:c r="J10" s="297" t="str">
        <x:v>Calculation Note</x:v>
      </x:c>
    </x:row>
    <x:row r="11" ht="22" customHeight="1">
      <x:c r="A11" s="573" t="str">
        <x:v>Example Employee</x:v>
      </x:c>
      <x:c r="B11" s="574" t="str">
        <x:v>Istanbul</x:v>
      </x:c>
      <x:c r="C11" s="574" t="str">
        <x:v>Salesperson</x:v>
      </x:c>
      <x:c r="D11" s="575" t="n">
        <x:v>46204</x:v>
      </x:c>
      <x:c r="E11" s="575" t="n">
        <x:v>46234</x:v>
      </x:c>
      <x:c r="F11" s="576" t="n">
        <x:v>16000</x:v>
      </x:c>
      <x:c r="G11" s="577" t="n">
        <x:f>IF(OR(D11="",E11=""),"",MAX(0,E11-D11))</x:f>
        <x:v>30</x:v>
      </x:c>
      <x:c r="H11" s="578" t="n">
        <x:f>IF(OR(B11="",C11="",F11="",G11=""),"",IF(B11="Istanbul",IF(G11&lt;=60,1%,IF(F11&gt;=15000,3%,IF(F11&gt;=12500,1%,0%))),IF(B11="Morocco",IF(C11="Manager",1.5%,IF(G11&lt;=90,1.5%,IF(F11&gt;=15000,1.5%,IF(AND(F11&gt;=12000,F11&lt;=14000),0.5%,0%)))),0%)))</x:f>
        <x:v>0.01</x:v>
      </x:c>
      <x:c r="I11" s="579" t="n">
        <x:f>IF(OR(F11="",H11=""),"",ROUND(F11*H11,2))</x:f>
        <x:v>160</x:v>
      </x:c>
      <x:c r="J11" s="623" t="str">
        <x:f>IF(H11="","",IF(H11=0,"Below target",IF(H11=0.005,"0.5% commission",IF(H11=0.01,"1.0% commission",IF(H11=0.015,"1.5% commission","3.0% commission")))))</x:f>
        <x:v>1.0% commission</x:v>
      </x:c>
    </x:row>
    <x:row r="12" ht="22" customHeight="1">
      <x:c r="A12" s="581"/>
      <x:c r="B12" s="187"/>
      <x:c r="C12" s="187"/>
      <x:c r="D12" s="582"/>
      <x:c r="E12" s="582"/>
      <x:c r="F12" s="583"/>
      <x:c r="G12" s="584" t="str">
        <x:f>IF(OR(D12="",E12=""),"",MAX(0,E12-D12))</x:f>
      </x:c>
      <x:c r="H12" s="191" t="str">
        <x:f>IF(OR(B12="",C12="",F12="",G12=""),"",IF(B12="Istanbul",IF(G12&lt;=60,1%,IF(F12&gt;=15000,3%,IF(F12&gt;=12500,1%,0%))),IF(B12="Morocco",IF(C12="Manager",1.5%,IF(G12&lt;=90,1.5%,IF(F12&gt;=15000,1.5%,IF(AND(F12&gt;=12000,F12&lt;=14000),0.5%,0%)))),0%)))</x:f>
      </x:c>
      <x:c r="I12" s="585" t="str">
        <x:f>IF(OR(F12="",H12=""),"",ROUND(F12*H12,2))</x:f>
      </x:c>
      <x:c r="J12" s="624" t="str">
        <x:f>IF(H12="","",IF(H12=0,"Below target",IF(H12=0.005,"0.5% commission",IF(H12=0.01,"1.0% commission",IF(H12=0.015,"1.5% commission","3.0% commission")))))</x:f>
      </x:c>
    </x:row>
    <x:row r="13" ht="22" customHeight="1">
      <x:c r="A13" s="581"/>
      <x:c r="B13" s="187"/>
      <x:c r="C13" s="187"/>
      <x:c r="D13" s="582"/>
      <x:c r="E13" s="582"/>
      <x:c r="F13" s="583"/>
      <x:c r="G13" s="584" t="str">
        <x:f>IF(OR(D13="",E13=""),"",MAX(0,E13-D13))</x:f>
      </x:c>
      <x:c r="H13" s="191" t="str">
        <x:f>IF(OR(B13="",C13="",F13="",G13=""),"",IF(B13="Istanbul",IF(G13&lt;=60,1%,IF(F13&gt;=15000,3%,IF(F13&gt;=12500,1%,0%))),IF(B13="Morocco",IF(C13="Manager",1.5%,IF(G13&lt;=90,1.5%,IF(F13&gt;=15000,1.5%,IF(AND(F13&gt;=12000,F13&lt;=14000),0.5%,0%)))),0%)))</x:f>
      </x:c>
      <x:c r="I13" s="585" t="str">
        <x:f>IF(OR(F13="",H13=""),"",ROUND(F13*H13,2))</x:f>
      </x:c>
      <x:c r="J13" s="624" t="str">
        <x:f>IF(H13="","",IF(H13=0,"Below target",IF(H13=0.005,"0.5% commission",IF(H13=0.01,"1.0% commission",IF(H13=0.015,"1.5% commission","3.0% commission")))))</x:f>
      </x:c>
    </x:row>
    <x:row r="14" ht="22" customHeight="1">
      <x:c r="A14" s="581"/>
      <x:c r="B14" s="187"/>
      <x:c r="C14" s="187"/>
      <x:c r="D14" s="582"/>
      <x:c r="E14" s="582"/>
      <x:c r="F14" s="583"/>
      <x:c r="G14" s="584" t="str">
        <x:f>IF(OR(D14="",E14=""),"",MAX(0,E14-D14))</x:f>
      </x:c>
      <x:c r="H14" s="191" t="str">
        <x:f>IF(OR(B14="",C14="",F14="",G14=""),"",IF(B14="Istanbul",IF(G14&lt;=60,1%,IF(F14&gt;=15000,3%,IF(F14&gt;=12500,1%,0%))),IF(B14="Morocco",IF(C14="Manager",1.5%,IF(G14&lt;=90,1.5%,IF(F14&gt;=15000,1.5%,IF(AND(F14&gt;=12000,F14&lt;=14000),0.5%,0%)))),0%)))</x:f>
      </x:c>
      <x:c r="I14" s="585" t="str">
        <x:f>IF(OR(F14="",H14=""),"",ROUND(F14*H14,2))</x:f>
      </x:c>
      <x:c r="J14" s="624" t="str">
        <x:f>IF(H14="","",IF(H14=0,"Below target",IF(H14=0.005,"0.5% commission",IF(H14=0.01,"1.0% commission",IF(H14=0.015,"1.5% commission","3.0% commission")))))</x:f>
      </x:c>
    </x:row>
    <x:row r="15" ht="22" customHeight="1">
      <x:c r="A15" s="581"/>
      <x:c r="B15" s="187"/>
      <x:c r="C15" s="187"/>
      <x:c r="D15" s="582"/>
      <x:c r="E15" s="582"/>
      <x:c r="F15" s="583"/>
      <x:c r="G15" s="584" t="str">
        <x:f>IF(OR(D15="",E15=""),"",MAX(0,E15-D15))</x:f>
      </x:c>
      <x:c r="H15" s="191" t="str">
        <x:f>IF(OR(B15="",C15="",F15="",G15=""),"",IF(B15="Istanbul",IF(G15&lt;=60,1%,IF(F15&gt;=15000,3%,IF(F15&gt;=12500,1%,0%))),IF(B15="Morocco",IF(C15="Manager",1.5%,IF(G15&lt;=90,1.5%,IF(F15&gt;=15000,1.5%,IF(AND(F15&gt;=12000,F15&lt;=14000),0.5%,0%)))),0%)))</x:f>
      </x:c>
      <x:c r="I15" s="585" t="str">
        <x:f>IF(OR(F15="",H15=""),"",ROUND(F15*H15,2))</x:f>
      </x:c>
      <x:c r="J15" s="624" t="str">
        <x:f>IF(H15="","",IF(H15=0,"Below target",IF(H15=0.005,"0.5% commission",IF(H15=0.01,"1.0% commission",IF(H15=0.015,"1.5% commission","3.0% commission")))))</x:f>
      </x:c>
    </x:row>
    <x:row r="16" ht="22" customHeight="1">
      <x:c r="A16" s="581"/>
      <x:c r="B16" s="187"/>
      <x:c r="C16" s="187"/>
      <x:c r="D16" s="582"/>
      <x:c r="E16" s="582"/>
      <x:c r="F16" s="583"/>
      <x:c r="G16" s="584" t="str">
        <x:f>IF(OR(D16="",E16=""),"",MAX(0,E16-D16))</x:f>
      </x:c>
      <x:c r="H16" s="191" t="str">
        <x:f>IF(OR(B16="",C16="",F16="",G16=""),"",IF(B16="Istanbul",IF(G16&lt;=60,1%,IF(F16&gt;=15000,3%,IF(F16&gt;=12500,1%,0%))),IF(B16="Morocco",IF(C16="Manager",1.5%,IF(G16&lt;=90,1.5%,IF(F16&gt;=15000,1.5%,IF(AND(F16&gt;=12000,F16&lt;=14000),0.5%,0%)))),0%)))</x:f>
      </x:c>
      <x:c r="I16" s="585" t="str">
        <x:f>IF(OR(F16="",H16=""),"",ROUND(F16*H16,2))</x:f>
      </x:c>
      <x:c r="J16" s="624" t="str">
        <x:f>IF(H16="","",IF(H16=0,"Below target",IF(H16=0.005,"0.5% commission",IF(H16=0.01,"1.0% commission",IF(H16=0.015,"1.5% commission","3.0% commission")))))</x:f>
      </x:c>
    </x:row>
    <x:row r="17" ht="22" customHeight="1">
      <x:c r="A17" s="581"/>
      <x:c r="B17" s="187"/>
      <x:c r="C17" s="187"/>
      <x:c r="D17" s="582"/>
      <x:c r="E17" s="582"/>
      <x:c r="F17" s="583"/>
      <x:c r="G17" s="584" t="str">
        <x:f>IF(OR(D17="",E17=""),"",MAX(0,E17-D17))</x:f>
      </x:c>
      <x:c r="H17" s="191" t="str">
        <x:f>IF(OR(B17="",C17="",F17="",G17=""),"",IF(B17="Istanbul",IF(G17&lt;=60,1%,IF(F17&gt;=15000,3%,IF(F17&gt;=12500,1%,0%))),IF(B17="Morocco",IF(C17="Manager",1.5%,IF(G17&lt;=90,1.5%,IF(F17&gt;=15000,1.5%,IF(AND(F17&gt;=12000,F17&lt;=14000),0.5%,0%)))),0%)))</x:f>
      </x:c>
      <x:c r="I17" s="585" t="str">
        <x:f>IF(OR(F17="",H17=""),"",ROUND(F17*H17,2))</x:f>
      </x:c>
      <x:c r="J17" s="624" t="str">
        <x:f>IF(H17="","",IF(H17=0,"Below target",IF(H17=0.005,"0.5% commission",IF(H17=0.01,"1.0% commission",IF(H17=0.015,"1.5% commission","3.0% commission")))))</x:f>
      </x:c>
    </x:row>
    <x:row r="18" ht="22" customHeight="1">
      <x:c r="A18" s="581"/>
      <x:c r="B18" s="187"/>
      <x:c r="C18" s="187"/>
      <x:c r="D18" s="582"/>
      <x:c r="E18" s="582"/>
      <x:c r="F18" s="583"/>
      <x:c r="G18" s="584" t="str">
        <x:f>IF(OR(D18="",E18=""),"",MAX(0,E18-D18))</x:f>
      </x:c>
      <x:c r="H18" s="191" t="str">
        <x:f>IF(OR(B18="",C18="",F18="",G18=""),"",IF(B18="Istanbul",IF(G18&lt;=60,1%,IF(F18&gt;=15000,3%,IF(F18&gt;=12500,1%,0%))),IF(B18="Morocco",IF(C18="Manager",1.5%,IF(G18&lt;=90,1.5%,IF(F18&gt;=15000,1.5%,IF(AND(F18&gt;=12000,F18&lt;=14000),0.5%,0%)))),0%)))</x:f>
      </x:c>
      <x:c r="I18" s="585" t="str">
        <x:f>IF(OR(F18="",H18=""),"",ROUND(F18*H18,2))</x:f>
      </x:c>
      <x:c r="J18" s="624" t="str">
        <x:f>IF(H18="","",IF(H18=0,"Below target",IF(H18=0.005,"0.5% commission",IF(H18=0.01,"1.0% commission",IF(H18=0.015,"1.5% commission","3.0% commission")))))</x:f>
      </x:c>
    </x:row>
    <x:row r="19" ht="22" customHeight="1">
      <x:c r="A19" s="581"/>
      <x:c r="B19" s="187"/>
      <x:c r="C19" s="187"/>
      <x:c r="D19" s="582"/>
      <x:c r="E19" s="582"/>
      <x:c r="F19" s="583"/>
      <x:c r="G19" s="584" t="str">
        <x:f>IF(OR(D19="",E19=""),"",MAX(0,E19-D19))</x:f>
      </x:c>
      <x:c r="H19" s="191" t="str">
        <x:f>IF(OR(B19="",C19="",F19="",G19=""),"",IF(B19="Istanbul",IF(G19&lt;=60,1%,IF(F19&gt;=15000,3%,IF(F19&gt;=12500,1%,0%))),IF(B19="Morocco",IF(C19="Manager",1.5%,IF(G19&lt;=90,1.5%,IF(F19&gt;=15000,1.5%,IF(AND(F19&gt;=12000,F19&lt;=14000),0.5%,0%)))),0%)))</x:f>
      </x:c>
      <x:c r="I19" s="585" t="str">
        <x:f>IF(OR(F19="",H19=""),"",ROUND(F19*H19,2))</x:f>
      </x:c>
      <x:c r="J19" s="624" t="str">
        <x:f>IF(H19="","",IF(H19=0,"Below target",IF(H19=0.005,"0.5% commission",IF(H19=0.01,"1.0% commission",IF(H19=0.015,"1.5% commission","3.0% commission")))))</x:f>
      </x:c>
    </x:row>
    <x:row r="20" ht="22" customHeight="1">
      <x:c r="A20" s="581"/>
      <x:c r="B20" s="187"/>
      <x:c r="C20" s="187"/>
      <x:c r="D20" s="582"/>
      <x:c r="E20" s="582"/>
      <x:c r="F20" s="583"/>
      <x:c r="G20" s="584" t="str">
        <x:f>IF(OR(D20="",E20=""),"",MAX(0,E20-D20))</x:f>
      </x:c>
      <x:c r="H20" s="191" t="str">
        <x:f>IF(OR(B20="",C20="",F20="",G20=""),"",IF(B20="Istanbul",IF(G20&lt;=60,1%,IF(F20&gt;=15000,3%,IF(F20&gt;=12500,1%,0%))),IF(B20="Morocco",IF(C20="Manager",1.5%,IF(G20&lt;=90,1.5%,IF(F20&gt;=15000,1.5%,IF(AND(F20&gt;=12000,F20&lt;=14000),0.5%,0%)))),0%)))</x:f>
      </x:c>
      <x:c r="I20" s="585" t="str">
        <x:f>IF(OR(F20="",H20=""),"",ROUND(F20*H20,2))</x:f>
      </x:c>
      <x:c r="J20" s="624" t="str">
        <x:f>IF(H20="","",IF(H20=0,"Below target",IF(H20=0.005,"0.5% commission",IF(H20=0.01,"1.0% commission",IF(H20=0.015,"1.5% commission","3.0% commission")))))</x:f>
      </x:c>
    </x:row>
    <x:row r="21" ht="22" customHeight="1">
      <x:c r="A21" s="581"/>
      <x:c r="B21" s="187"/>
      <x:c r="C21" s="187"/>
      <x:c r="D21" s="582"/>
      <x:c r="E21" s="582"/>
      <x:c r="F21" s="583"/>
      <x:c r="G21" s="584" t="str">
        <x:f>IF(OR(D21="",E21=""),"",MAX(0,E21-D21))</x:f>
      </x:c>
      <x:c r="H21" s="191" t="str">
        <x:f>IF(OR(B21="",C21="",F21="",G21=""),"",IF(B21="Istanbul",IF(G21&lt;=60,1%,IF(F21&gt;=15000,3%,IF(F21&gt;=12500,1%,0%))),IF(B21="Morocco",IF(C21="Manager",1.5%,IF(G21&lt;=90,1.5%,IF(F21&gt;=15000,1.5%,IF(AND(F21&gt;=12000,F21&lt;=14000),0.5%,0%)))),0%)))</x:f>
      </x:c>
      <x:c r="I21" s="585" t="str">
        <x:f>IF(OR(F21="",H21=""),"",ROUND(F21*H21,2))</x:f>
      </x:c>
      <x:c r="J21" s="624" t="str">
        <x:f>IF(H21="","",IF(H21=0,"Below target",IF(H21=0.005,"0.5% commission",IF(H21=0.01,"1.0% commission",IF(H21=0.015,"1.5% commission","3.0% commission")))))</x:f>
      </x:c>
    </x:row>
    <x:row r="22" ht="22" customHeight="1">
      <x:c r="A22" s="581"/>
      <x:c r="B22" s="187"/>
      <x:c r="C22" s="187"/>
      <x:c r="D22" s="582"/>
      <x:c r="E22" s="582"/>
      <x:c r="F22" s="583"/>
      <x:c r="G22" s="584" t="str">
        <x:f>IF(OR(D22="",E22=""),"",MAX(0,E22-D22))</x:f>
      </x:c>
      <x:c r="H22" s="191" t="str">
        <x:f>IF(OR(B22="",C22="",F22="",G22=""),"",IF(B22="Istanbul",IF(G22&lt;=60,1%,IF(F22&gt;=15000,3%,IF(F22&gt;=12500,1%,0%))),IF(B22="Morocco",IF(C22="Manager",1.5%,IF(G22&lt;=90,1.5%,IF(F22&gt;=15000,1.5%,IF(AND(F22&gt;=12000,F22&lt;=14000),0.5%,0%)))),0%)))</x:f>
      </x:c>
      <x:c r="I22" s="585" t="str">
        <x:f>IF(OR(F22="",H22=""),"",ROUND(F22*H22,2))</x:f>
      </x:c>
      <x:c r="J22" s="624" t="str">
        <x:f>IF(H22="","",IF(H22=0,"Below target",IF(H22=0.005,"0.5% commission",IF(H22=0.01,"1.0% commission",IF(H22=0.015,"1.5% commission","3.0% commission")))))</x:f>
      </x:c>
    </x:row>
    <x:row r="23" ht="22" customHeight="1">
      <x:c r="A23" s="581"/>
      <x:c r="B23" s="187"/>
      <x:c r="C23" s="187"/>
      <x:c r="D23" s="582"/>
      <x:c r="E23" s="582"/>
      <x:c r="F23" s="583"/>
      <x:c r="G23" s="584" t="str">
        <x:f>IF(OR(D23="",E23=""),"",MAX(0,E23-D23))</x:f>
      </x:c>
      <x:c r="H23" s="191" t="str">
        <x:f>IF(OR(B23="",C23="",F23="",G23=""),"",IF(B23="Istanbul",IF(G23&lt;=60,1%,IF(F23&gt;=15000,3%,IF(F23&gt;=12500,1%,0%))),IF(B23="Morocco",IF(C23="Manager",1.5%,IF(G23&lt;=90,1.5%,IF(F23&gt;=15000,1.5%,IF(AND(F23&gt;=12000,F23&lt;=14000),0.5%,0%)))),0%)))</x:f>
      </x:c>
      <x:c r="I23" s="585" t="str">
        <x:f>IF(OR(F23="",H23=""),"",ROUND(F23*H23,2))</x:f>
      </x:c>
      <x:c r="J23" s="624" t="str">
        <x:f>IF(H23="","",IF(H23=0,"Below target",IF(H23=0.005,"0.5% commission",IF(H23=0.01,"1.0% commission",IF(H23=0.015,"1.5% commission","3.0% commission")))))</x:f>
      </x:c>
    </x:row>
    <x:row r="24" ht="22" customHeight="1">
      <x:c r="A24" s="581"/>
      <x:c r="B24" s="187"/>
      <x:c r="C24" s="187"/>
      <x:c r="D24" s="582"/>
      <x:c r="E24" s="582"/>
      <x:c r="F24" s="583"/>
      <x:c r="G24" s="584" t="str">
        <x:f>IF(OR(D24="",E24=""),"",MAX(0,E24-D24))</x:f>
      </x:c>
      <x:c r="H24" s="191" t="str">
        <x:f>IF(OR(B24="",C24="",F24="",G24=""),"",IF(B24="Istanbul",IF(G24&lt;=60,1%,IF(F24&gt;=15000,3%,IF(F24&gt;=12500,1%,0%))),IF(B24="Morocco",IF(C24="Manager",1.5%,IF(G24&lt;=90,1.5%,IF(F24&gt;=15000,1.5%,IF(AND(F24&gt;=12000,F24&lt;=14000),0.5%,0%)))),0%)))</x:f>
      </x:c>
      <x:c r="I24" s="585" t="str">
        <x:f>IF(OR(F24="",H24=""),"",ROUND(F24*H24,2))</x:f>
      </x:c>
      <x:c r="J24" s="624" t="str">
        <x:f>IF(H24="","",IF(H24=0,"Below target",IF(H24=0.005,"0.5% commission",IF(H24=0.01,"1.0% commission",IF(H24=0.015,"1.5% commission","3.0% commission")))))</x:f>
      </x:c>
    </x:row>
    <x:row r="25" ht="22" customHeight="1">
      <x:c r="A25" s="581"/>
      <x:c r="B25" s="187"/>
      <x:c r="C25" s="187"/>
      <x:c r="D25" s="582"/>
      <x:c r="E25" s="582"/>
      <x:c r="F25" s="583"/>
      <x:c r="G25" s="584" t="str">
        <x:f>IF(OR(D25="",E25=""),"",MAX(0,E25-D25))</x:f>
      </x:c>
      <x:c r="H25" s="191" t="str">
        <x:f>IF(OR(B25="",C25="",F25="",G25=""),"",IF(B25="Istanbul",IF(G25&lt;=60,1%,IF(F25&gt;=15000,3%,IF(F25&gt;=12500,1%,0%))),IF(B25="Morocco",IF(C25="Manager",1.5%,IF(G25&lt;=90,1.5%,IF(F25&gt;=15000,1.5%,IF(AND(F25&gt;=12000,F25&lt;=14000),0.5%,0%)))),0%)))</x:f>
      </x:c>
      <x:c r="I25" s="585" t="str">
        <x:f>IF(OR(F25="",H25=""),"",ROUND(F25*H25,2))</x:f>
      </x:c>
      <x:c r="J25" s="624" t="str">
        <x:f>IF(H25="","",IF(H25=0,"Below target",IF(H25=0.005,"0.5% commission",IF(H25=0.01,"1.0% commission",IF(H25=0.015,"1.5% commission","3.0% commission")))))</x:f>
      </x:c>
    </x:row>
    <x:row r="26" ht="22" customHeight="1">
      <x:c r="A26" s="581"/>
      <x:c r="B26" s="187"/>
      <x:c r="C26" s="187"/>
      <x:c r="D26" s="582"/>
      <x:c r="E26" s="582"/>
      <x:c r="F26" s="583"/>
      <x:c r="G26" s="584" t="str">
        <x:f>IF(OR(D26="",E26=""),"",MAX(0,E26-D26))</x:f>
      </x:c>
      <x:c r="H26" s="191" t="str">
        <x:f>IF(OR(B26="",C26="",F26="",G26=""),"",IF(B26="Istanbul",IF(G26&lt;=60,1%,IF(F26&gt;=15000,3%,IF(F26&gt;=12500,1%,0%))),IF(B26="Morocco",IF(C26="Manager",1.5%,IF(G26&lt;=90,1.5%,IF(F26&gt;=15000,1.5%,IF(AND(F26&gt;=12000,F26&lt;=14000),0.5%,0%)))),0%)))</x:f>
      </x:c>
      <x:c r="I26" s="585" t="str">
        <x:f>IF(OR(F26="",H26=""),"",ROUND(F26*H26,2))</x:f>
      </x:c>
      <x:c r="J26" s="624" t="str">
        <x:f>IF(H26="","",IF(H26=0,"Below target",IF(H26=0.005,"0.5% commission",IF(H26=0.01,"1.0% commission",IF(H26=0.015,"1.5% commission","3.0% commission")))))</x:f>
      </x:c>
    </x:row>
    <x:row r="27" ht="22" customHeight="1">
      <x:c r="A27" s="581"/>
      <x:c r="B27" s="187"/>
      <x:c r="C27" s="187"/>
      <x:c r="D27" s="582"/>
      <x:c r="E27" s="582"/>
      <x:c r="F27" s="583"/>
      <x:c r="G27" s="584" t="str">
        <x:f>IF(OR(D27="",E27=""),"",MAX(0,E27-D27))</x:f>
      </x:c>
      <x:c r="H27" s="191" t="str">
        <x:f>IF(OR(B27="",C27="",F27="",G27=""),"",IF(B27="Istanbul",IF(G27&lt;=60,1%,IF(F27&gt;=15000,3%,IF(F27&gt;=12500,1%,0%))),IF(B27="Morocco",IF(C27="Manager",1.5%,IF(G27&lt;=90,1.5%,IF(F27&gt;=15000,1.5%,IF(AND(F27&gt;=12000,F27&lt;=14000),0.5%,0%)))),0%)))</x:f>
      </x:c>
      <x:c r="I27" s="585" t="str">
        <x:f>IF(OR(F27="",H27=""),"",ROUND(F27*H27,2))</x:f>
      </x:c>
      <x:c r="J27" s="624" t="str">
        <x:f>IF(H27="","",IF(H27=0,"Below target",IF(H27=0.005,"0.5% commission",IF(H27=0.01,"1.0% commission",IF(H27=0.015,"1.5% commission","3.0% commission")))))</x:f>
      </x:c>
    </x:row>
    <x:row r="28" ht="22" customHeight="1">
      <x:c r="A28" s="581"/>
      <x:c r="B28" s="187"/>
      <x:c r="C28" s="187"/>
      <x:c r="D28" s="582"/>
      <x:c r="E28" s="582"/>
      <x:c r="F28" s="583"/>
      <x:c r="G28" s="584" t="str">
        <x:f>IF(OR(D28="",E28=""),"",MAX(0,E28-D28))</x:f>
      </x:c>
      <x:c r="H28" s="191" t="str">
        <x:f>IF(OR(B28="",C28="",F28="",G28=""),"",IF(B28="Istanbul",IF(G28&lt;=60,1%,IF(F28&gt;=15000,3%,IF(F28&gt;=12500,1%,0%))),IF(B28="Morocco",IF(C28="Manager",1.5%,IF(G28&lt;=90,1.5%,IF(F28&gt;=15000,1.5%,IF(AND(F28&gt;=12000,F28&lt;=14000),0.5%,0%)))),0%)))</x:f>
      </x:c>
      <x:c r="I28" s="585" t="str">
        <x:f>IF(OR(F28="",H28=""),"",ROUND(F28*H28,2))</x:f>
      </x:c>
      <x:c r="J28" s="624" t="str">
        <x:f>IF(H28="","",IF(H28=0,"Below target",IF(H28=0.005,"0.5% commission",IF(H28=0.01,"1.0% commission",IF(H28=0.015,"1.5% commission","3.0% commission")))))</x:f>
      </x:c>
    </x:row>
    <x:row r="29" ht="22" customHeight="1">
      <x:c r="A29" s="581"/>
      <x:c r="B29" s="187"/>
      <x:c r="C29" s="187"/>
      <x:c r="D29" s="582"/>
      <x:c r="E29" s="582"/>
      <x:c r="F29" s="583"/>
      <x:c r="G29" s="584" t="str">
        <x:f>IF(OR(D29="",E29=""),"",MAX(0,E29-D29))</x:f>
      </x:c>
      <x:c r="H29" s="191" t="str">
        <x:f>IF(OR(B29="",C29="",F29="",G29=""),"",IF(B29="Istanbul",IF(G29&lt;=60,1%,IF(F29&gt;=15000,3%,IF(F29&gt;=12500,1%,0%))),IF(B29="Morocco",IF(C29="Manager",1.5%,IF(G29&lt;=90,1.5%,IF(F29&gt;=15000,1.5%,IF(AND(F29&gt;=12000,F29&lt;=14000),0.5%,0%)))),0%)))</x:f>
      </x:c>
      <x:c r="I29" s="585" t="str">
        <x:f>IF(OR(F29="",H29=""),"",ROUND(F29*H29,2))</x:f>
      </x:c>
      <x:c r="J29" s="624" t="str">
        <x:f>IF(H29="","",IF(H29=0,"Below target",IF(H29=0.005,"0.5% commission",IF(H29=0.01,"1.0% commission",IF(H29=0.015,"1.5% commission","3.0% commission")))))</x:f>
      </x:c>
    </x:row>
    <x:row r="30" ht="22" customHeight="1">
      <x:c r="A30" s="581"/>
      <x:c r="B30" s="187"/>
      <x:c r="C30" s="187"/>
      <x:c r="D30" s="582"/>
      <x:c r="E30" s="582"/>
      <x:c r="F30" s="583"/>
      <x:c r="G30" s="584" t="str">
        <x:f>IF(OR(D30="",E30=""),"",MAX(0,E30-D30))</x:f>
      </x:c>
      <x:c r="H30" s="191" t="str">
        <x:f>IF(OR(B30="",C30="",F30="",G30=""),"",IF(B30="Istanbul",IF(G30&lt;=60,1%,IF(F30&gt;=15000,3%,IF(F30&gt;=12500,1%,0%))),IF(B30="Morocco",IF(C30="Manager",1.5%,IF(G30&lt;=90,1.5%,IF(F30&gt;=15000,1.5%,IF(AND(F30&gt;=12000,F30&lt;=14000),0.5%,0%)))),0%)))</x:f>
      </x:c>
      <x:c r="I30" s="585" t="str">
        <x:f>IF(OR(F30="",H30=""),"",ROUND(F30*H30,2))</x:f>
      </x:c>
      <x:c r="J30" s="624" t="str">
        <x:f>IF(H30="","",IF(H30=0,"Below target",IF(H30=0.005,"0.5% commission",IF(H30=0.01,"1.0% commission",IF(H30=0.015,"1.5% commission","3.0% commission")))))</x:f>
      </x:c>
    </x:row>
    <x:row r="31" ht="22" customHeight="1">
      <x:c r="A31" s="581"/>
      <x:c r="B31" s="187"/>
      <x:c r="C31" s="187"/>
      <x:c r="D31" s="582"/>
      <x:c r="E31" s="582"/>
      <x:c r="F31" s="583"/>
      <x:c r="G31" s="584" t="str">
        <x:f>IF(OR(D31="",E31=""),"",MAX(0,E31-D31))</x:f>
      </x:c>
      <x:c r="H31" s="191" t="str">
        <x:f>IF(OR(B31="",C31="",F31="",G31=""),"",IF(B31="Istanbul",IF(G31&lt;=60,1%,IF(F31&gt;=15000,3%,IF(F31&gt;=12500,1%,0%))),IF(B31="Morocco",IF(C31="Manager",1.5%,IF(G31&lt;=90,1.5%,IF(F31&gt;=15000,1.5%,IF(AND(F31&gt;=12000,F31&lt;=14000),0.5%,0%)))),0%)))</x:f>
      </x:c>
      <x:c r="I31" s="585" t="str">
        <x:f>IF(OR(F31="",H31=""),"",ROUND(F31*H31,2))</x:f>
      </x:c>
      <x:c r="J31" s="624" t="str">
        <x:f>IF(H31="","",IF(H31=0,"Below target",IF(H31=0.005,"0.5% commission",IF(H31=0.01,"1.0% commission",IF(H31=0.015,"1.5% commission","3.0% commission")))))</x:f>
      </x:c>
    </x:row>
    <x:row r="32" ht="22" customHeight="1">
      <x:c r="A32" s="581"/>
      <x:c r="B32" s="187"/>
      <x:c r="C32" s="187"/>
      <x:c r="D32" s="582"/>
      <x:c r="E32" s="582"/>
      <x:c r="F32" s="583"/>
      <x:c r="G32" s="584" t="str">
        <x:f>IF(OR(D32="",E32=""),"",MAX(0,E32-D32))</x:f>
      </x:c>
      <x:c r="H32" s="191" t="str">
        <x:f>IF(OR(B32="",C32="",F32="",G32=""),"",IF(B32="Istanbul",IF(G32&lt;=60,1%,IF(F32&gt;=15000,3%,IF(F32&gt;=12500,1%,0%))),IF(B32="Morocco",IF(C32="Manager",1.5%,IF(G32&lt;=90,1.5%,IF(F32&gt;=15000,1.5%,IF(AND(F32&gt;=12000,F32&lt;=14000),0.5%,0%)))),0%)))</x:f>
      </x:c>
      <x:c r="I32" s="585" t="str">
        <x:f>IF(OR(F32="",H32=""),"",ROUND(F32*H32,2))</x:f>
      </x:c>
      <x:c r="J32" s="624" t="str">
        <x:f>IF(H32="","",IF(H32=0,"Below target",IF(H32=0.005,"0.5% commission",IF(H32=0.01,"1.0% commission",IF(H32=0.015,"1.5% commission","3.0% commission")))))</x:f>
      </x:c>
    </x:row>
    <x:row r="33" ht="22" customHeight="1">
      <x:c r="A33" s="581"/>
      <x:c r="B33" s="187"/>
      <x:c r="C33" s="187"/>
      <x:c r="D33" s="582"/>
      <x:c r="E33" s="582"/>
      <x:c r="F33" s="583"/>
      <x:c r="G33" s="584" t="str">
        <x:f>IF(OR(D33="",E33=""),"",MAX(0,E33-D33))</x:f>
      </x:c>
      <x:c r="H33" s="191" t="str">
        <x:f>IF(OR(B33="",C33="",F33="",G33=""),"",IF(B33="Istanbul",IF(G33&lt;=60,1%,IF(F33&gt;=15000,3%,IF(F33&gt;=12500,1%,0%))),IF(B33="Morocco",IF(C33="Manager",1.5%,IF(G33&lt;=90,1.5%,IF(F33&gt;=15000,1.5%,IF(AND(F33&gt;=12000,F33&lt;=14000),0.5%,0%)))),0%)))</x:f>
      </x:c>
      <x:c r="I33" s="585" t="str">
        <x:f>IF(OR(F33="",H33=""),"",ROUND(F33*H33,2))</x:f>
      </x:c>
      <x:c r="J33" s="624" t="str">
        <x:f>IF(H33="","",IF(H33=0,"Below target",IF(H33=0.005,"0.5% commission",IF(H33=0.01,"1.0% commission",IF(H33=0.015,"1.5% commission","3.0% commission")))))</x:f>
      </x:c>
    </x:row>
    <x:row r="34" ht="22" customHeight="1">
      <x:c r="A34" s="581"/>
      <x:c r="B34" s="187"/>
      <x:c r="C34" s="187"/>
      <x:c r="D34" s="582"/>
      <x:c r="E34" s="582"/>
      <x:c r="F34" s="583"/>
      <x:c r="G34" s="584" t="str">
        <x:f>IF(OR(D34="",E34=""),"",MAX(0,E34-D34))</x:f>
      </x:c>
      <x:c r="H34" s="191" t="str">
        <x:f>IF(OR(B34="",C34="",F34="",G34=""),"",IF(B34="Istanbul",IF(G34&lt;=60,1%,IF(F34&gt;=15000,3%,IF(F34&gt;=12500,1%,0%))),IF(B34="Morocco",IF(C34="Manager",1.5%,IF(G34&lt;=90,1.5%,IF(F34&gt;=15000,1.5%,IF(AND(F34&gt;=12000,F34&lt;=14000),0.5%,0%)))),0%)))</x:f>
      </x:c>
      <x:c r="I34" s="585" t="str">
        <x:f>IF(OR(F34="",H34=""),"",ROUND(F34*H34,2))</x:f>
      </x:c>
      <x:c r="J34" s="624" t="str">
        <x:f>IF(H34="","",IF(H34=0,"Below target",IF(H34=0.005,"0.5% commission",IF(H34=0.01,"1.0% commission",IF(H34=0.015,"1.5% commission","3.0% commission")))))</x:f>
      </x:c>
    </x:row>
    <x:row r="35" ht="22" customHeight="1">
      <x:c r="A35" s="581"/>
      <x:c r="B35" s="187"/>
      <x:c r="C35" s="187"/>
      <x:c r="D35" s="582"/>
      <x:c r="E35" s="582"/>
      <x:c r="F35" s="583"/>
      <x:c r="G35" s="584" t="str">
        <x:f>IF(OR(D35="",E35=""),"",MAX(0,E35-D35))</x:f>
      </x:c>
      <x:c r="H35" s="191" t="str">
        <x:f>IF(OR(B35="",C35="",F35="",G35=""),"",IF(B35="Istanbul",IF(G35&lt;=60,1%,IF(F35&gt;=15000,3%,IF(F35&gt;=12500,1%,0%))),IF(B35="Morocco",IF(C35="Manager",1.5%,IF(G35&lt;=90,1.5%,IF(F35&gt;=15000,1.5%,IF(AND(F35&gt;=12000,F35&lt;=14000),0.5%,0%)))),0%)))</x:f>
      </x:c>
      <x:c r="I35" s="585" t="str">
        <x:f>IF(OR(F35="",H35=""),"",ROUND(F35*H35,2))</x:f>
      </x:c>
      <x:c r="J35" s="624" t="str">
        <x:f>IF(H35="","",IF(H35=0,"Below target",IF(H35=0.005,"0.5% commission",IF(H35=0.01,"1.0% commission",IF(H35=0.015,"1.5% commission","3.0% commission")))))</x:f>
      </x:c>
    </x:row>
    <x:row r="36" ht="22" customHeight="1">
      <x:c r="A36" s="581"/>
      <x:c r="B36" s="187"/>
      <x:c r="C36" s="187"/>
      <x:c r="D36" s="582"/>
      <x:c r="E36" s="582"/>
      <x:c r="F36" s="583"/>
      <x:c r="G36" s="584" t="str">
        <x:f>IF(OR(D36="",E36=""),"",MAX(0,E36-D36))</x:f>
      </x:c>
      <x:c r="H36" s="191" t="str">
        <x:f>IF(OR(B36="",C36="",F36="",G36=""),"",IF(B36="Istanbul",IF(G36&lt;=60,1%,IF(F36&gt;=15000,3%,IF(F36&gt;=12500,1%,0%))),IF(B36="Morocco",IF(C36="Manager",1.5%,IF(G36&lt;=90,1.5%,IF(F36&gt;=15000,1.5%,IF(AND(F36&gt;=12000,F36&lt;=14000),0.5%,0%)))),0%)))</x:f>
      </x:c>
      <x:c r="I36" s="585" t="str">
        <x:f>IF(OR(F36="",H36=""),"",ROUND(F36*H36,2))</x:f>
      </x:c>
      <x:c r="J36" s="624" t="str">
        <x:f>IF(H36="","",IF(H36=0,"Below target",IF(H36=0.005,"0.5% commission",IF(H36=0.01,"1.0% commission",IF(H36=0.015,"1.5% commission","3.0% commission")))))</x:f>
      </x:c>
    </x:row>
    <x:row r="37" ht="22" customHeight="1">
      <x:c r="A37" s="581"/>
      <x:c r="B37" s="187"/>
      <x:c r="C37" s="187"/>
      <x:c r="D37" s="582"/>
      <x:c r="E37" s="582"/>
      <x:c r="F37" s="583"/>
      <x:c r="G37" s="584" t="str">
        <x:f>IF(OR(D37="",E37=""),"",MAX(0,E37-D37))</x:f>
      </x:c>
      <x:c r="H37" s="191" t="str">
        <x:f>IF(OR(B37="",C37="",F37="",G37=""),"",IF(B37="Istanbul",IF(G37&lt;=60,1%,IF(F37&gt;=15000,3%,IF(F37&gt;=12500,1%,0%))),IF(B37="Morocco",IF(C37="Manager",1.5%,IF(G37&lt;=90,1.5%,IF(F37&gt;=15000,1.5%,IF(AND(F37&gt;=12000,F37&lt;=14000),0.5%,0%)))),0%)))</x:f>
      </x:c>
      <x:c r="I37" s="585" t="str">
        <x:f>IF(OR(F37="",H37=""),"",ROUND(F37*H37,2))</x:f>
      </x:c>
      <x:c r="J37" s="624" t="str">
        <x:f>IF(H37="","",IF(H37=0,"Below target",IF(H37=0.005,"0.5% commission",IF(H37=0.01,"1.0% commission",IF(H37=0.015,"1.5% commission","3.0% commission")))))</x:f>
      </x:c>
    </x:row>
    <x:row r="38" ht="22" customHeight="1">
      <x:c r="A38" s="581"/>
      <x:c r="B38" s="187"/>
      <x:c r="C38" s="187"/>
      <x:c r="D38" s="582"/>
      <x:c r="E38" s="582"/>
      <x:c r="F38" s="583"/>
      <x:c r="G38" s="584" t="str">
        <x:f>IF(OR(D38="",E38=""),"",MAX(0,E38-D38))</x:f>
      </x:c>
      <x:c r="H38" s="191" t="str">
        <x:f>IF(OR(B38="",C38="",F38="",G38=""),"",IF(B38="Istanbul",IF(G38&lt;=60,1%,IF(F38&gt;=15000,3%,IF(F38&gt;=12500,1%,0%))),IF(B38="Morocco",IF(C38="Manager",1.5%,IF(G38&lt;=90,1.5%,IF(F38&gt;=15000,1.5%,IF(AND(F38&gt;=12000,F38&lt;=14000),0.5%,0%)))),0%)))</x:f>
      </x:c>
      <x:c r="I38" s="585" t="str">
        <x:f>IF(OR(F38="",H38=""),"",ROUND(F38*H38,2))</x:f>
      </x:c>
      <x:c r="J38" s="624" t="str">
        <x:f>IF(H38="","",IF(H38=0,"Below target",IF(H38=0.005,"0.5% commission",IF(H38=0.01,"1.0% commission",IF(H38=0.015,"1.5% commission","3.0% commission")))))</x:f>
      </x:c>
    </x:row>
    <x:row r="39" ht="22" customHeight="1">
      <x:c r="A39" s="581"/>
      <x:c r="B39" s="187"/>
      <x:c r="C39" s="187"/>
      <x:c r="D39" s="582"/>
      <x:c r="E39" s="582"/>
      <x:c r="F39" s="583"/>
      <x:c r="G39" s="584" t="str">
        <x:f>IF(OR(D39="",E39=""),"",MAX(0,E39-D39))</x:f>
      </x:c>
      <x:c r="H39" s="191" t="str">
        <x:f>IF(OR(B39="",C39="",F39="",G39=""),"",IF(B39="Istanbul",IF(G39&lt;=60,1%,IF(F39&gt;=15000,3%,IF(F39&gt;=12500,1%,0%))),IF(B39="Morocco",IF(C39="Manager",1.5%,IF(G39&lt;=90,1.5%,IF(F39&gt;=15000,1.5%,IF(AND(F39&gt;=12000,F39&lt;=14000),0.5%,0%)))),0%)))</x:f>
      </x:c>
      <x:c r="I39" s="585" t="str">
        <x:f>IF(OR(F39="",H39=""),"",ROUND(F39*H39,2))</x:f>
      </x:c>
      <x:c r="J39" s="624" t="str">
        <x:f>IF(H39="","",IF(H39=0,"Below target",IF(H39=0.005,"0.5% commission",IF(H39=0.01,"1.0% commission",IF(H39=0.015,"1.5% commission","3.0% commission")))))</x:f>
      </x:c>
    </x:row>
    <x:row r="40" ht="22" customHeight="1">
      <x:c r="A40" s="581"/>
      <x:c r="B40" s="187"/>
      <x:c r="C40" s="187"/>
      <x:c r="D40" s="582"/>
      <x:c r="E40" s="582"/>
      <x:c r="F40" s="583"/>
      <x:c r="G40" s="584" t="str">
        <x:f>IF(OR(D40="",E40=""),"",MAX(0,E40-D40))</x:f>
      </x:c>
      <x:c r="H40" s="191" t="str">
        <x:f>IF(OR(B40="",C40="",F40="",G40=""),"",IF(B40="Istanbul",IF(G40&lt;=60,1%,IF(F40&gt;=15000,3%,IF(F40&gt;=12500,1%,0%))),IF(B40="Morocco",IF(C40="Manager",1.5%,IF(G40&lt;=90,1.5%,IF(F40&gt;=15000,1.5%,IF(AND(F40&gt;=12000,F40&lt;=14000),0.5%,0%)))),0%)))</x:f>
      </x:c>
      <x:c r="I40" s="585" t="str">
        <x:f>IF(OR(F40="",H40=""),"",ROUND(F40*H40,2))</x:f>
      </x:c>
      <x:c r="J40" s="624" t="str">
        <x:f>IF(H40="","",IF(H40=0,"Below target",IF(H40=0.005,"0.5% commission",IF(H40=0.01,"1.0% commission",IF(H40=0.015,"1.5% commission","3.0% commission")))))</x:f>
      </x:c>
    </x:row>
    <x:row r="41" ht="22" customHeight="1">
      <x:c r="A41" s="581"/>
      <x:c r="B41" s="187"/>
      <x:c r="C41" s="187"/>
      <x:c r="D41" s="582"/>
      <x:c r="E41" s="582"/>
      <x:c r="F41" s="583"/>
      <x:c r="G41" s="584" t="str">
        <x:f>IF(OR(D41="",E41=""),"",MAX(0,E41-D41))</x:f>
      </x:c>
      <x:c r="H41" s="191" t="str">
        <x:f>IF(OR(B41="",C41="",F41="",G41=""),"",IF(B41="Istanbul",IF(G41&lt;=60,1%,IF(F41&gt;=15000,3%,IF(F41&gt;=12500,1%,0%))),IF(B41="Morocco",IF(C41="Manager",1.5%,IF(G41&lt;=90,1.5%,IF(F41&gt;=15000,1.5%,IF(AND(F41&gt;=12000,F41&lt;=14000),0.5%,0%)))),0%)))</x:f>
      </x:c>
      <x:c r="I41" s="585" t="str">
        <x:f>IF(OR(F41="",H41=""),"",ROUND(F41*H41,2))</x:f>
      </x:c>
      <x:c r="J41" s="624" t="str">
        <x:f>IF(H41="","",IF(H41=0,"Below target",IF(H41=0.005,"0.5% commission",IF(H41=0.01,"1.0% commission",IF(H41=0.015,"1.5% commission","3.0% commission")))))</x:f>
      </x:c>
    </x:row>
    <x:row r="42" ht="22" customHeight="1">
      <x:c r="A42" s="581"/>
      <x:c r="B42" s="187"/>
      <x:c r="C42" s="187"/>
      <x:c r="D42" s="582"/>
      <x:c r="E42" s="582"/>
      <x:c r="F42" s="583"/>
      <x:c r="G42" s="584" t="str">
        <x:f>IF(OR(D42="",E42=""),"",MAX(0,E42-D42))</x:f>
      </x:c>
      <x:c r="H42" s="191" t="str">
        <x:f>IF(OR(B42="",C42="",F42="",G42=""),"",IF(B42="Istanbul",IF(G42&lt;=60,1%,IF(F42&gt;=15000,3%,IF(F42&gt;=12500,1%,0%))),IF(B42="Morocco",IF(C42="Manager",1.5%,IF(G42&lt;=90,1.5%,IF(F42&gt;=15000,1.5%,IF(AND(F42&gt;=12000,F42&lt;=14000),0.5%,0%)))),0%)))</x:f>
      </x:c>
      <x:c r="I42" s="585" t="str">
        <x:f>IF(OR(F42="",H42=""),"",ROUND(F42*H42,2))</x:f>
      </x:c>
      <x:c r="J42" s="624" t="str">
        <x:f>IF(H42="","",IF(H42=0,"Below target",IF(H42=0.005,"0.5% commission",IF(H42=0.01,"1.0% commission",IF(H42=0.015,"1.5% commission","3.0% commission")))))</x:f>
      </x:c>
    </x:row>
    <x:row r="43" ht="22" customHeight="1">
      <x:c r="A43" s="581"/>
      <x:c r="B43" s="187"/>
      <x:c r="C43" s="187"/>
      <x:c r="D43" s="582"/>
      <x:c r="E43" s="582"/>
      <x:c r="F43" s="583"/>
      <x:c r="G43" s="584" t="str">
        <x:f>IF(OR(D43="",E43=""),"",MAX(0,E43-D43))</x:f>
      </x:c>
      <x:c r="H43" s="191" t="str">
        <x:f>IF(OR(B43="",C43="",F43="",G43=""),"",IF(B43="Istanbul",IF(G43&lt;=60,1%,IF(F43&gt;=15000,3%,IF(F43&gt;=12500,1%,0%))),IF(B43="Morocco",IF(C43="Manager",1.5%,IF(G43&lt;=90,1.5%,IF(F43&gt;=15000,1.5%,IF(AND(F43&gt;=12000,F43&lt;=14000),0.5%,0%)))),0%)))</x:f>
      </x:c>
      <x:c r="I43" s="585" t="str">
        <x:f>IF(OR(F43="",H43=""),"",ROUND(F43*H43,2))</x:f>
      </x:c>
      <x:c r="J43" s="624" t="str">
        <x:f>IF(H43="","",IF(H43=0,"Below target",IF(H43=0.005,"0.5% commission",IF(H43=0.01,"1.0% commission",IF(H43=0.015,"1.5% commission","3.0% commission")))))</x:f>
      </x:c>
    </x:row>
    <x:row r="44" ht="22" customHeight="1">
      <x:c r="A44" s="581"/>
      <x:c r="B44" s="187"/>
      <x:c r="C44" s="187"/>
      <x:c r="D44" s="582"/>
      <x:c r="E44" s="582"/>
      <x:c r="F44" s="583"/>
      <x:c r="G44" s="584" t="str">
        <x:f>IF(OR(D44="",E44=""),"",MAX(0,E44-D44))</x:f>
      </x:c>
      <x:c r="H44" s="191" t="str">
        <x:f>IF(OR(B44="",C44="",F44="",G44=""),"",IF(B44="Istanbul",IF(G44&lt;=60,1%,IF(F44&gt;=15000,3%,IF(F44&gt;=12500,1%,0%))),IF(B44="Morocco",IF(C44="Manager",1.5%,IF(G44&lt;=90,1.5%,IF(F44&gt;=15000,1.5%,IF(AND(F44&gt;=12000,F44&lt;=14000),0.5%,0%)))),0%)))</x:f>
      </x:c>
      <x:c r="I44" s="585" t="str">
        <x:f>IF(OR(F44="",H44=""),"",ROUND(F44*H44,2))</x:f>
      </x:c>
      <x:c r="J44" s="624" t="str">
        <x:f>IF(H44="","",IF(H44=0,"Below target",IF(H44=0.005,"0.5% commission",IF(H44=0.01,"1.0% commission",IF(H44=0.015,"1.5% commission","3.0% commission")))))</x:f>
      </x:c>
    </x:row>
    <x:row r="45" ht="22" customHeight="1">
      <x:c r="A45" s="581"/>
      <x:c r="B45" s="187"/>
      <x:c r="C45" s="187"/>
      <x:c r="D45" s="582"/>
      <x:c r="E45" s="582"/>
      <x:c r="F45" s="583"/>
      <x:c r="G45" s="584" t="str">
        <x:f>IF(OR(D45="",E45=""),"",MAX(0,E45-D45))</x:f>
      </x:c>
      <x:c r="H45" s="191" t="str">
        <x:f>IF(OR(B45="",C45="",F45="",G45=""),"",IF(B45="Istanbul",IF(G45&lt;=60,1%,IF(F45&gt;=15000,3%,IF(F45&gt;=12500,1%,0%))),IF(B45="Morocco",IF(C45="Manager",1.5%,IF(G45&lt;=90,1.5%,IF(F45&gt;=15000,1.5%,IF(AND(F45&gt;=12000,F45&lt;=14000),0.5%,0%)))),0%)))</x:f>
      </x:c>
      <x:c r="I45" s="585" t="str">
        <x:f>IF(OR(F45="",H45=""),"",ROUND(F45*H45,2))</x:f>
      </x:c>
      <x:c r="J45" s="624" t="str">
        <x:f>IF(H45="","",IF(H45=0,"Below target",IF(H45=0.005,"0.5% commission",IF(H45=0.01,"1.0% commission",IF(H45=0.015,"1.5% commission","3.0% commission")))))</x:f>
      </x:c>
    </x:row>
    <x:row r="46" ht="22" customHeight="1">
      <x:c r="A46" s="581"/>
      <x:c r="B46" s="187"/>
      <x:c r="C46" s="187"/>
      <x:c r="D46" s="582"/>
      <x:c r="E46" s="582"/>
      <x:c r="F46" s="583"/>
      <x:c r="G46" s="584" t="str">
        <x:f>IF(OR(D46="",E46=""),"",MAX(0,E46-D46))</x:f>
      </x:c>
      <x:c r="H46" s="191" t="str">
        <x:f>IF(OR(B46="",C46="",F46="",G46=""),"",IF(B46="Istanbul",IF(G46&lt;=60,1%,IF(F46&gt;=15000,3%,IF(F46&gt;=12500,1%,0%))),IF(B46="Morocco",IF(C46="Manager",1.5%,IF(G46&lt;=90,1.5%,IF(F46&gt;=15000,1.5%,IF(AND(F46&gt;=12000,F46&lt;=14000),0.5%,0%)))),0%)))</x:f>
      </x:c>
      <x:c r="I46" s="585" t="str">
        <x:f>IF(OR(F46="",H46=""),"",ROUND(F46*H46,2))</x:f>
      </x:c>
      <x:c r="J46" s="624" t="str">
        <x:f>IF(H46="","",IF(H46=0,"Below target",IF(H46=0.005,"0.5% commission",IF(H46=0.01,"1.0% commission",IF(H46=0.015,"1.5% commission","3.0% commission")))))</x:f>
      </x:c>
    </x:row>
    <x:row r="47" ht="22" customHeight="1">
      <x:c r="A47" s="581"/>
      <x:c r="B47" s="187"/>
      <x:c r="C47" s="187"/>
      <x:c r="D47" s="582"/>
      <x:c r="E47" s="582"/>
      <x:c r="F47" s="583"/>
      <x:c r="G47" s="584" t="str">
        <x:f>IF(OR(D47="",E47=""),"",MAX(0,E47-D47))</x:f>
      </x:c>
      <x:c r="H47" s="191" t="str">
        <x:f>IF(OR(B47="",C47="",F47="",G47=""),"",IF(B47="Istanbul",IF(G47&lt;=60,1%,IF(F47&gt;=15000,3%,IF(F47&gt;=12500,1%,0%))),IF(B47="Morocco",IF(C47="Manager",1.5%,IF(G47&lt;=90,1.5%,IF(F47&gt;=15000,1.5%,IF(AND(F47&gt;=12000,F47&lt;=14000),0.5%,0%)))),0%)))</x:f>
      </x:c>
      <x:c r="I47" s="585" t="str">
        <x:f>IF(OR(F47="",H47=""),"",ROUND(F47*H47,2))</x:f>
      </x:c>
      <x:c r="J47" s="624" t="str">
        <x:f>IF(H47="","",IF(H47=0,"Below target",IF(H47=0.005,"0.5% commission",IF(H47=0.01,"1.0% commission",IF(H47=0.015,"1.5% commission","3.0% commission")))))</x:f>
      </x:c>
    </x:row>
    <x:row r="48" ht="22" customHeight="1">
      <x:c r="A48" s="581"/>
      <x:c r="B48" s="187"/>
      <x:c r="C48" s="187"/>
      <x:c r="D48" s="582"/>
      <x:c r="E48" s="582"/>
      <x:c r="F48" s="583"/>
      <x:c r="G48" s="584" t="str">
        <x:f>IF(OR(D48="",E48=""),"",MAX(0,E48-D48))</x:f>
      </x:c>
      <x:c r="H48" s="191" t="str">
        <x:f>IF(OR(B48="",C48="",F48="",G48=""),"",IF(B48="Istanbul",IF(G48&lt;=60,1%,IF(F48&gt;=15000,3%,IF(F48&gt;=12500,1%,0%))),IF(B48="Morocco",IF(C48="Manager",1.5%,IF(G48&lt;=90,1.5%,IF(F48&gt;=15000,1.5%,IF(AND(F48&gt;=12000,F48&lt;=14000),0.5%,0%)))),0%)))</x:f>
      </x:c>
      <x:c r="I48" s="585" t="str">
        <x:f>IF(OR(F48="",H48=""),"",ROUND(F48*H48,2))</x:f>
      </x:c>
      <x:c r="J48" s="624" t="str">
        <x:f>IF(H48="","",IF(H48=0,"Below target",IF(H48=0.005,"0.5% commission",IF(H48=0.01,"1.0% commission",IF(H48=0.015,"1.5% commission","3.0% commission")))))</x:f>
      </x:c>
    </x:row>
    <x:row r="49" ht="22" customHeight="1">
      <x:c r="A49" s="581"/>
      <x:c r="B49" s="187"/>
      <x:c r="C49" s="187"/>
      <x:c r="D49" s="582"/>
      <x:c r="E49" s="582"/>
      <x:c r="F49" s="583"/>
      <x:c r="G49" s="584" t="str">
        <x:f>IF(OR(D49="",E49=""),"",MAX(0,E49-D49))</x:f>
      </x:c>
      <x:c r="H49" s="191" t="str">
        <x:f>IF(OR(B49="",C49="",F49="",G49=""),"",IF(B49="Istanbul",IF(G49&lt;=60,1%,IF(F49&gt;=15000,3%,IF(F49&gt;=12500,1%,0%))),IF(B49="Morocco",IF(C49="Manager",1.5%,IF(G49&lt;=90,1.5%,IF(F49&gt;=15000,1.5%,IF(AND(F49&gt;=12000,F49&lt;=14000),0.5%,0%)))),0%)))</x:f>
      </x:c>
      <x:c r="I49" s="585" t="str">
        <x:f>IF(OR(F49="",H49=""),"",ROUND(F49*H49,2))</x:f>
      </x:c>
      <x:c r="J49" s="624" t="str">
        <x:f>IF(H49="","",IF(H49=0,"Below target",IF(H49=0.005,"0.5% commission",IF(H49=0.01,"1.0% commission",IF(H49=0.015,"1.5% commission","3.0% commission")))))</x:f>
      </x:c>
    </x:row>
    <x:row r="50" ht="22" customHeight="1">
      <x:c r="A50" s="581"/>
      <x:c r="B50" s="187"/>
      <x:c r="C50" s="187"/>
      <x:c r="D50" s="582"/>
      <x:c r="E50" s="582"/>
      <x:c r="F50" s="583"/>
      <x:c r="G50" s="584" t="str">
        <x:f>IF(OR(D50="",E50=""),"",MAX(0,E50-D50))</x:f>
      </x:c>
      <x:c r="H50" s="191" t="str">
        <x:f>IF(OR(B50="",C50="",F50="",G50=""),"",IF(B50="Istanbul",IF(G50&lt;=60,1%,IF(F50&gt;=15000,3%,IF(F50&gt;=12500,1%,0%))),IF(B50="Morocco",IF(C50="Manager",1.5%,IF(G50&lt;=90,1.5%,IF(F50&gt;=15000,1.5%,IF(AND(F50&gt;=12000,F50&lt;=14000),0.5%,0%)))),0%)))</x:f>
      </x:c>
      <x:c r="I50" s="585" t="str">
        <x:f>IF(OR(F50="",H50=""),"",ROUND(F50*H50,2))</x:f>
      </x:c>
      <x:c r="J50" s="624" t="str">
        <x:f>IF(H50="","",IF(H50=0,"Below target",IF(H50=0.005,"0.5% commission",IF(H50=0.01,"1.0% commission",IF(H50=0.015,"1.5% commission","3.0% commission")))))</x:f>
      </x:c>
    </x:row>
    <x:row r="51" ht="22" customHeight="1">
      <x:c r="A51" s="581"/>
      <x:c r="B51" s="187"/>
      <x:c r="C51" s="187"/>
      <x:c r="D51" s="582"/>
      <x:c r="E51" s="582"/>
      <x:c r="F51" s="583"/>
      <x:c r="G51" s="584" t="str">
        <x:f>IF(OR(D51="",E51=""),"",MAX(0,E51-D51))</x:f>
      </x:c>
      <x:c r="H51" s="191" t="str">
        <x:f>IF(OR(B51="",C51="",F51="",G51=""),"",IF(B51="Istanbul",IF(G51&lt;=60,1%,IF(F51&gt;=15000,3%,IF(F51&gt;=12500,1%,0%))),IF(B51="Morocco",IF(C51="Manager",1.5%,IF(G51&lt;=90,1.5%,IF(F51&gt;=15000,1.5%,IF(AND(F51&gt;=12000,F51&lt;=14000),0.5%,0%)))),0%)))</x:f>
      </x:c>
      <x:c r="I51" s="585" t="str">
        <x:f>IF(OR(F51="",H51=""),"",ROUND(F51*H51,2))</x:f>
      </x:c>
      <x:c r="J51" s="624" t="str">
        <x:f>IF(H51="","",IF(H51=0,"Below target",IF(H51=0.005,"0.5% commission",IF(H51=0.01,"1.0% commission",IF(H51=0.015,"1.5% commission","3.0% commission")))))</x:f>
      </x:c>
    </x:row>
    <x:row r="52" ht="22" customHeight="1">
      <x:c r="A52" s="581"/>
      <x:c r="B52" s="187"/>
      <x:c r="C52" s="187"/>
      <x:c r="D52" s="582"/>
      <x:c r="E52" s="582"/>
      <x:c r="F52" s="583"/>
      <x:c r="G52" s="584" t="str">
        <x:f>IF(OR(D52="",E52=""),"",MAX(0,E52-D52))</x:f>
      </x:c>
      <x:c r="H52" s="191" t="str">
        <x:f>IF(OR(B52="",C52="",F52="",G52=""),"",IF(B52="Istanbul",IF(G52&lt;=60,1%,IF(F52&gt;=15000,3%,IF(F52&gt;=12500,1%,0%))),IF(B52="Morocco",IF(C52="Manager",1.5%,IF(G52&lt;=90,1.5%,IF(F52&gt;=15000,1.5%,IF(AND(F52&gt;=12000,F52&lt;=14000),0.5%,0%)))),0%)))</x:f>
      </x:c>
      <x:c r="I52" s="585" t="str">
        <x:f>IF(OR(F52="",H52=""),"",ROUND(F52*H52,2))</x:f>
      </x:c>
      <x:c r="J52" s="624" t="str">
        <x:f>IF(H52="","",IF(H52=0,"Below target",IF(H52=0.005,"0.5% commission",IF(H52=0.01,"1.0% commission",IF(H52=0.015,"1.5% commission","3.0% commission")))))</x:f>
      </x:c>
    </x:row>
    <x:row r="53" ht="22" customHeight="1">
      <x:c r="A53" s="581"/>
      <x:c r="B53" s="187"/>
      <x:c r="C53" s="187"/>
      <x:c r="D53" s="582"/>
      <x:c r="E53" s="582"/>
      <x:c r="F53" s="583"/>
      <x:c r="G53" s="584" t="str">
        <x:f>IF(OR(D53="",E53=""),"",MAX(0,E53-D53))</x:f>
      </x:c>
      <x:c r="H53" s="191" t="str">
        <x:f>IF(OR(B53="",C53="",F53="",G53=""),"",IF(B53="Istanbul",IF(G53&lt;=60,1%,IF(F53&gt;=15000,3%,IF(F53&gt;=12500,1%,0%))),IF(B53="Morocco",IF(C53="Manager",1.5%,IF(G53&lt;=90,1.5%,IF(F53&gt;=15000,1.5%,IF(AND(F53&gt;=12000,F53&lt;=14000),0.5%,0%)))),0%)))</x:f>
      </x:c>
      <x:c r="I53" s="585" t="str">
        <x:f>IF(OR(F53="",H53=""),"",ROUND(F53*H53,2))</x:f>
      </x:c>
      <x:c r="J53" s="624" t="str">
        <x:f>IF(H53="","",IF(H53=0,"Below target",IF(H53=0.005,"0.5% commission",IF(H53=0.01,"1.0% commission",IF(H53=0.015,"1.5% commission","3.0% commission")))))</x:f>
      </x:c>
    </x:row>
    <x:row r="54" ht="22" customHeight="1">
      <x:c r="A54" s="581"/>
      <x:c r="B54" s="187"/>
      <x:c r="C54" s="187"/>
      <x:c r="D54" s="582"/>
      <x:c r="E54" s="582"/>
      <x:c r="F54" s="583"/>
      <x:c r="G54" s="584" t="str">
        <x:f>IF(OR(D54="",E54=""),"",MAX(0,E54-D54))</x:f>
      </x:c>
      <x:c r="H54" s="191" t="str">
        <x:f>IF(OR(B54="",C54="",F54="",G54=""),"",IF(B54="Istanbul",IF(G54&lt;=60,1%,IF(F54&gt;=15000,3%,IF(F54&gt;=12500,1%,0%))),IF(B54="Morocco",IF(C54="Manager",1.5%,IF(G54&lt;=90,1.5%,IF(F54&gt;=15000,1.5%,IF(AND(F54&gt;=12000,F54&lt;=14000),0.5%,0%)))),0%)))</x:f>
      </x:c>
      <x:c r="I54" s="585" t="str">
        <x:f>IF(OR(F54="",H54=""),"",ROUND(F54*H54,2))</x:f>
      </x:c>
      <x:c r="J54" s="624" t="str">
        <x:f>IF(H54="","",IF(H54=0,"Below target",IF(H54=0.005,"0.5% commission",IF(H54=0.01,"1.0% commission",IF(H54=0.015,"1.5% commission","3.0% commission")))))</x:f>
      </x:c>
    </x:row>
    <x:row r="55" ht="22" customHeight="1">
      <x:c r="A55" s="581"/>
      <x:c r="B55" s="187"/>
      <x:c r="C55" s="187"/>
      <x:c r="D55" s="582"/>
      <x:c r="E55" s="582"/>
      <x:c r="F55" s="583"/>
      <x:c r="G55" s="584" t="str">
        <x:f>IF(OR(D55="",E55=""),"",MAX(0,E55-D55))</x:f>
      </x:c>
      <x:c r="H55" s="191" t="str">
        <x:f>IF(OR(B55="",C55="",F55="",G55=""),"",IF(B55="Istanbul",IF(G55&lt;=60,1%,IF(F55&gt;=15000,3%,IF(F55&gt;=12500,1%,0%))),IF(B55="Morocco",IF(C55="Manager",1.5%,IF(G55&lt;=90,1.5%,IF(F55&gt;=15000,1.5%,IF(AND(F55&gt;=12000,F55&lt;=14000),0.5%,0%)))),0%)))</x:f>
      </x:c>
      <x:c r="I55" s="585" t="str">
        <x:f>IF(OR(F55="",H55=""),"",ROUND(F55*H55,2))</x:f>
      </x:c>
      <x:c r="J55" s="624" t="str">
        <x:f>IF(H55="","",IF(H55=0,"Below target",IF(H55=0.005,"0.5% commission",IF(H55=0.01,"1.0% commission",IF(H55=0.015,"1.5% commission","3.0% commission")))))</x:f>
      </x:c>
    </x:row>
    <x:row r="56" ht="22" customHeight="1">
      <x:c r="A56" s="581"/>
      <x:c r="B56" s="187"/>
      <x:c r="C56" s="187"/>
      <x:c r="D56" s="582"/>
      <x:c r="E56" s="582"/>
      <x:c r="F56" s="583"/>
      <x:c r="G56" s="584" t="str">
        <x:f>IF(OR(D56="",E56=""),"",MAX(0,E56-D56))</x:f>
      </x:c>
      <x:c r="H56" s="191" t="str">
        <x:f>IF(OR(B56="",C56="",F56="",G56=""),"",IF(B56="Istanbul",IF(G56&lt;=60,1%,IF(F56&gt;=15000,3%,IF(F56&gt;=12500,1%,0%))),IF(B56="Morocco",IF(C56="Manager",1.5%,IF(G56&lt;=90,1.5%,IF(F56&gt;=15000,1.5%,IF(AND(F56&gt;=12000,F56&lt;=14000),0.5%,0%)))),0%)))</x:f>
      </x:c>
      <x:c r="I56" s="585" t="str">
        <x:f>IF(OR(F56="",H56=""),"",ROUND(F56*H56,2))</x:f>
      </x:c>
      <x:c r="J56" s="624" t="str">
        <x:f>IF(H56="","",IF(H56=0,"Below target",IF(H56=0.005,"0.5% commission",IF(H56=0.01,"1.0% commission",IF(H56=0.015,"1.5% commission","3.0% commission")))))</x:f>
      </x:c>
    </x:row>
    <x:row r="57" ht="22" customHeight="1">
      <x:c r="A57" s="581"/>
      <x:c r="B57" s="187"/>
      <x:c r="C57" s="187"/>
      <x:c r="D57" s="582"/>
      <x:c r="E57" s="582"/>
      <x:c r="F57" s="583"/>
      <x:c r="G57" s="584" t="str">
        <x:f>IF(OR(D57="",E57=""),"",MAX(0,E57-D57))</x:f>
      </x:c>
      <x:c r="H57" s="191" t="str">
        <x:f>IF(OR(B57="",C57="",F57="",G57=""),"",IF(B57="Istanbul",IF(G57&lt;=60,1%,IF(F57&gt;=15000,3%,IF(F57&gt;=12500,1%,0%))),IF(B57="Morocco",IF(C57="Manager",1.5%,IF(G57&lt;=90,1.5%,IF(F57&gt;=15000,1.5%,IF(AND(F57&gt;=12000,F57&lt;=14000),0.5%,0%)))),0%)))</x:f>
      </x:c>
      <x:c r="I57" s="585" t="str">
        <x:f>IF(OR(F57="",H57=""),"",ROUND(F57*H57,2))</x:f>
      </x:c>
      <x:c r="J57" s="624" t="str">
        <x:f>IF(H57="","",IF(H57=0,"Below target",IF(H57=0.005,"0.5% commission",IF(H57=0.01,"1.0% commission",IF(H57=0.015,"1.5% commission","3.0% commission")))))</x:f>
      </x:c>
    </x:row>
    <x:row r="58" ht="22" customHeight="1">
      <x:c r="A58" s="581"/>
      <x:c r="B58" s="187"/>
      <x:c r="C58" s="187"/>
      <x:c r="D58" s="582"/>
      <x:c r="E58" s="582"/>
      <x:c r="F58" s="583"/>
      <x:c r="G58" s="584" t="str">
        <x:f>IF(OR(D58="",E58=""),"",MAX(0,E58-D58))</x:f>
      </x:c>
      <x:c r="H58" s="191" t="str">
        <x:f>IF(OR(B58="",C58="",F58="",G58=""),"",IF(B58="Istanbul",IF(G58&lt;=60,1%,IF(F58&gt;=15000,3%,IF(F58&gt;=12500,1%,0%))),IF(B58="Morocco",IF(C58="Manager",1.5%,IF(G58&lt;=90,1.5%,IF(F58&gt;=15000,1.5%,IF(AND(F58&gt;=12000,F58&lt;=14000),0.5%,0%)))),0%)))</x:f>
      </x:c>
      <x:c r="I58" s="585" t="str">
        <x:f>IF(OR(F58="",H58=""),"",ROUND(F58*H58,2))</x:f>
      </x:c>
      <x:c r="J58" s="624" t="str">
        <x:f>IF(H58="","",IF(H58=0,"Below target",IF(H58=0.005,"0.5% commission",IF(H58=0.01,"1.0% commission",IF(H58=0.015,"1.5% commission","3.0% commission")))))</x:f>
      </x:c>
    </x:row>
    <x:row r="59" ht="22" customHeight="1">
      <x:c r="A59" s="581"/>
      <x:c r="B59" s="187"/>
      <x:c r="C59" s="187"/>
      <x:c r="D59" s="582"/>
      <x:c r="E59" s="582"/>
      <x:c r="F59" s="583"/>
      <x:c r="G59" s="584" t="str">
        <x:f>IF(OR(D59="",E59=""),"",MAX(0,E59-D59))</x:f>
      </x:c>
      <x:c r="H59" s="191" t="str">
        <x:f>IF(OR(B59="",C59="",F59="",G59=""),"",IF(B59="Istanbul",IF(G59&lt;=60,1%,IF(F59&gt;=15000,3%,IF(F59&gt;=12500,1%,0%))),IF(B59="Morocco",IF(C59="Manager",1.5%,IF(G59&lt;=90,1.5%,IF(F59&gt;=15000,1.5%,IF(AND(F59&gt;=12000,F59&lt;=14000),0.5%,0%)))),0%)))</x:f>
      </x:c>
      <x:c r="I59" s="585" t="str">
        <x:f>IF(OR(F59="",H59=""),"",ROUND(F59*H59,2))</x:f>
      </x:c>
      <x:c r="J59" s="624" t="str">
        <x:f>IF(H59="","",IF(H59=0,"Below target",IF(H59=0.005,"0.5% commission",IF(H59=0.01,"1.0% commission",IF(H59=0.015,"1.5% commission","3.0% commission")))))</x:f>
      </x:c>
    </x:row>
    <x:row r="60" ht="22" customHeight="1">
      <x:c r="A60" s="581"/>
      <x:c r="B60" s="187"/>
      <x:c r="C60" s="187"/>
      <x:c r="D60" s="582"/>
      <x:c r="E60" s="582"/>
      <x:c r="F60" s="583"/>
      <x:c r="G60" s="584" t="str">
        <x:f>IF(OR(D60="",E60=""),"",MAX(0,E60-D60))</x:f>
      </x:c>
      <x:c r="H60" s="191" t="str">
        <x:f>IF(OR(B60="",C60="",F60="",G60=""),"",IF(B60="Istanbul",IF(G60&lt;=60,1%,IF(F60&gt;=15000,3%,IF(F60&gt;=12500,1%,0%))),IF(B60="Morocco",IF(C60="Manager",1.5%,IF(G60&lt;=90,1.5%,IF(F60&gt;=15000,1.5%,IF(AND(F60&gt;=12000,F60&lt;=14000),0.5%,0%)))),0%)))</x:f>
      </x:c>
      <x:c r="I60" s="585" t="str">
        <x:f>IF(OR(F60="",H60=""),"",ROUND(F60*H60,2))</x:f>
      </x:c>
      <x:c r="J60" s="624" t="str">
        <x:f>IF(H60="","",IF(H60=0,"Below target",IF(H60=0.005,"0.5% commission",IF(H60=0.01,"1.0% commission",IF(H60=0.015,"1.5% commission","3.0% commission")))))</x:f>
      </x:c>
    </x:row>
    <x:row r="61" ht="22" customHeight="1">
      <x:c r="A61" s="581"/>
      <x:c r="B61" s="187"/>
      <x:c r="C61" s="187"/>
      <x:c r="D61" s="582"/>
      <x:c r="E61" s="582"/>
      <x:c r="F61" s="583"/>
      <x:c r="G61" s="584" t="str">
        <x:f>IF(OR(D61="",E61=""),"",MAX(0,E61-D61))</x:f>
      </x:c>
      <x:c r="H61" s="191" t="str">
        <x:f>IF(OR(B61="",C61="",F61="",G61=""),"",IF(B61="Istanbul",IF(G61&lt;=60,1%,IF(F61&gt;=15000,3%,IF(F61&gt;=12500,1%,0%))),IF(B61="Morocco",IF(C61="Manager",1.5%,IF(G61&lt;=90,1.5%,IF(F61&gt;=15000,1.5%,IF(AND(F61&gt;=12000,F61&lt;=14000),0.5%,0%)))),0%)))</x:f>
      </x:c>
      <x:c r="I61" s="585" t="str">
        <x:f>IF(OR(F61="",H61=""),"",ROUND(F61*H61,2))</x:f>
      </x:c>
      <x:c r="J61" s="624" t="str">
        <x:f>IF(H61="","",IF(H61=0,"Below target",IF(H61=0.005,"0.5% commission",IF(H61=0.01,"1.0% commission",IF(H61=0.015,"1.5% commission","3.0% commission")))))</x:f>
      </x:c>
    </x:row>
    <x:row r="62" ht="22" customHeight="1">
      <x:c r="A62" s="581"/>
      <x:c r="B62" s="187"/>
      <x:c r="C62" s="187"/>
      <x:c r="D62" s="582"/>
      <x:c r="E62" s="582"/>
      <x:c r="F62" s="583"/>
      <x:c r="G62" s="584" t="str">
        <x:f>IF(OR(D62="",E62=""),"",MAX(0,E62-D62))</x:f>
      </x:c>
      <x:c r="H62" s="191" t="str">
        <x:f>IF(OR(B62="",C62="",F62="",G62=""),"",IF(B62="Istanbul",IF(G62&lt;=60,1%,IF(F62&gt;=15000,3%,IF(F62&gt;=12500,1%,0%))),IF(B62="Morocco",IF(C62="Manager",1.5%,IF(G62&lt;=90,1.5%,IF(F62&gt;=15000,1.5%,IF(AND(F62&gt;=12000,F62&lt;=14000),0.5%,0%)))),0%)))</x:f>
      </x:c>
      <x:c r="I62" s="585" t="str">
        <x:f>IF(OR(F62="",H62=""),"",ROUND(F62*H62,2))</x:f>
      </x:c>
      <x:c r="J62" s="624" t="str">
        <x:f>IF(H62="","",IF(H62=0,"Below target",IF(H62=0.005,"0.5% commission",IF(H62=0.01,"1.0% commission",IF(H62=0.015,"1.5% commission","3.0% commission")))))</x:f>
      </x:c>
    </x:row>
    <x:row r="63" ht="22" customHeight="1">
      <x:c r="A63" s="581"/>
      <x:c r="B63" s="187"/>
      <x:c r="C63" s="187"/>
      <x:c r="D63" s="582"/>
      <x:c r="E63" s="582"/>
      <x:c r="F63" s="583"/>
      <x:c r="G63" s="584" t="str">
        <x:f>IF(OR(D63="",E63=""),"",MAX(0,E63-D63))</x:f>
      </x:c>
      <x:c r="H63" s="191" t="str">
        <x:f>IF(OR(B63="",C63="",F63="",G63=""),"",IF(B63="Istanbul",IF(G63&lt;=60,1%,IF(F63&gt;=15000,3%,IF(F63&gt;=12500,1%,0%))),IF(B63="Morocco",IF(C63="Manager",1.5%,IF(G63&lt;=90,1.5%,IF(F63&gt;=15000,1.5%,IF(AND(F63&gt;=12000,F63&lt;=14000),0.5%,0%)))),0%)))</x:f>
      </x:c>
      <x:c r="I63" s="585" t="str">
        <x:f>IF(OR(F63="",H63=""),"",ROUND(F63*H63,2))</x:f>
      </x:c>
      <x:c r="J63" s="624" t="str">
        <x:f>IF(H63="","",IF(H63=0,"Below target",IF(H63=0.005,"0.5% commission",IF(H63=0.01,"1.0% commission",IF(H63=0.015,"1.5% commission","3.0% commission")))))</x:f>
      </x:c>
    </x:row>
    <x:row r="64" ht="22" customHeight="1">
      <x:c r="A64" s="581"/>
      <x:c r="B64" s="187"/>
      <x:c r="C64" s="187"/>
      <x:c r="D64" s="582"/>
      <x:c r="E64" s="582"/>
      <x:c r="F64" s="583"/>
      <x:c r="G64" s="584" t="str">
        <x:f>IF(OR(D64="",E64=""),"",MAX(0,E64-D64))</x:f>
      </x:c>
      <x:c r="H64" s="191" t="str">
        <x:f>IF(OR(B64="",C64="",F64="",G64=""),"",IF(B64="Istanbul",IF(G64&lt;=60,1%,IF(F64&gt;=15000,3%,IF(F64&gt;=12500,1%,0%))),IF(B64="Morocco",IF(C64="Manager",1.5%,IF(G64&lt;=90,1.5%,IF(F64&gt;=15000,1.5%,IF(AND(F64&gt;=12000,F64&lt;=14000),0.5%,0%)))),0%)))</x:f>
      </x:c>
      <x:c r="I64" s="585" t="str">
        <x:f>IF(OR(F64="",H64=""),"",ROUND(F64*H64,2))</x:f>
      </x:c>
      <x:c r="J64" s="624" t="str">
        <x:f>IF(H64="","",IF(H64=0,"Below target",IF(H64=0.005,"0.5% commission",IF(H64=0.01,"1.0% commission",IF(H64=0.015,"1.5% commission","3.0% commission")))))</x:f>
      </x:c>
    </x:row>
    <x:row r="65" ht="22" customHeight="1">
      <x:c r="A65" s="581"/>
      <x:c r="B65" s="187"/>
      <x:c r="C65" s="187"/>
      <x:c r="D65" s="582"/>
      <x:c r="E65" s="582"/>
      <x:c r="F65" s="583"/>
      <x:c r="G65" s="584" t="str">
        <x:f>IF(OR(D65="",E65=""),"",MAX(0,E65-D65))</x:f>
      </x:c>
      <x:c r="H65" s="191" t="str">
        <x:f>IF(OR(B65="",C65="",F65="",G65=""),"",IF(B65="Istanbul",IF(G65&lt;=60,1%,IF(F65&gt;=15000,3%,IF(F65&gt;=12500,1%,0%))),IF(B65="Morocco",IF(C65="Manager",1.5%,IF(G65&lt;=90,1.5%,IF(F65&gt;=15000,1.5%,IF(AND(F65&gt;=12000,F65&lt;=14000),0.5%,0%)))),0%)))</x:f>
      </x:c>
      <x:c r="I65" s="585" t="str">
        <x:f>IF(OR(F65="",H65=""),"",ROUND(F65*H65,2))</x:f>
      </x:c>
      <x:c r="J65" s="624" t="str">
        <x:f>IF(H65="","",IF(H65=0,"Below target",IF(H65=0.005,"0.5% commission",IF(H65=0.01,"1.0% commission",IF(H65=0.015,"1.5% commission","3.0% commission")))))</x:f>
      </x:c>
    </x:row>
    <x:row r="66" ht="22" customHeight="1">
      <x:c r="A66" s="581"/>
      <x:c r="B66" s="187"/>
      <x:c r="C66" s="187"/>
      <x:c r="D66" s="582"/>
      <x:c r="E66" s="582"/>
      <x:c r="F66" s="583"/>
      <x:c r="G66" s="584" t="str">
        <x:f>IF(OR(D66="",E66=""),"",MAX(0,E66-D66))</x:f>
      </x:c>
      <x:c r="H66" s="191" t="str">
        <x:f>IF(OR(B66="",C66="",F66="",G66=""),"",IF(B66="Istanbul",IF(G66&lt;=60,1%,IF(F66&gt;=15000,3%,IF(F66&gt;=12500,1%,0%))),IF(B66="Morocco",IF(C66="Manager",1.5%,IF(G66&lt;=90,1.5%,IF(F66&gt;=15000,1.5%,IF(AND(F66&gt;=12000,F66&lt;=14000),0.5%,0%)))),0%)))</x:f>
      </x:c>
      <x:c r="I66" s="585" t="str">
        <x:f>IF(OR(F66="",H66=""),"",ROUND(F66*H66,2))</x:f>
      </x:c>
      <x:c r="J66" s="624" t="str">
        <x:f>IF(H66="","",IF(H66=0,"Below target",IF(H66=0.005,"0.5% commission",IF(H66=0.01,"1.0% commission",IF(H66=0.015,"1.5% commission","3.0% commission")))))</x:f>
      </x:c>
    </x:row>
    <x:row r="67" ht="22" customHeight="1">
      <x:c r="A67" s="581"/>
      <x:c r="B67" s="187"/>
      <x:c r="C67" s="187"/>
      <x:c r="D67" s="582"/>
      <x:c r="E67" s="582"/>
      <x:c r="F67" s="583"/>
      <x:c r="G67" s="584" t="str">
        <x:f>IF(OR(D67="",E67=""),"",MAX(0,E67-D67))</x:f>
      </x:c>
      <x:c r="H67" s="191" t="str">
        <x:f>IF(OR(B67="",C67="",F67="",G67=""),"",IF(B67="Istanbul",IF(G67&lt;=60,1%,IF(F67&gt;=15000,3%,IF(F67&gt;=12500,1%,0%))),IF(B67="Morocco",IF(C67="Manager",1.5%,IF(G67&lt;=90,1.5%,IF(F67&gt;=15000,1.5%,IF(AND(F67&gt;=12000,F67&lt;=14000),0.5%,0%)))),0%)))</x:f>
      </x:c>
      <x:c r="I67" s="585" t="str">
        <x:f>IF(OR(F67="",H67=""),"",ROUND(F67*H67,2))</x:f>
      </x:c>
      <x:c r="J67" s="624" t="str">
        <x:f>IF(H67="","",IF(H67=0,"Below target",IF(H67=0.005,"0.5% commission",IF(H67=0.01,"1.0% commission",IF(H67=0.015,"1.5% commission","3.0% commission")))))</x:f>
      </x:c>
    </x:row>
    <x:row r="68" ht="22" customHeight="1">
      <x:c r="A68" s="581"/>
      <x:c r="B68" s="187"/>
      <x:c r="C68" s="187"/>
      <x:c r="D68" s="582"/>
      <x:c r="E68" s="582"/>
      <x:c r="F68" s="583"/>
      <x:c r="G68" s="584" t="str">
        <x:f>IF(OR(D68="",E68=""),"",MAX(0,E68-D68))</x:f>
      </x:c>
      <x:c r="H68" s="191" t="str">
        <x:f>IF(OR(B68="",C68="",F68="",G68=""),"",IF(B68="Istanbul",IF(G68&lt;=60,1%,IF(F68&gt;=15000,3%,IF(F68&gt;=12500,1%,0%))),IF(B68="Morocco",IF(C68="Manager",1.5%,IF(G68&lt;=90,1.5%,IF(F68&gt;=15000,1.5%,IF(AND(F68&gt;=12000,F68&lt;=14000),0.5%,0%)))),0%)))</x:f>
      </x:c>
      <x:c r="I68" s="585" t="str">
        <x:f>IF(OR(F68="",H68=""),"",ROUND(F68*H68,2))</x:f>
      </x:c>
      <x:c r="J68" s="624" t="str">
        <x:f>IF(H68="","",IF(H68=0,"Below target",IF(H68=0.005,"0.5% commission",IF(H68=0.01,"1.0% commission",IF(H68=0.015,"1.5% commission","3.0% commission")))))</x:f>
      </x:c>
    </x:row>
    <x:row r="69" ht="22" customHeight="1">
      <x:c r="A69" s="581"/>
      <x:c r="B69" s="187"/>
      <x:c r="C69" s="187"/>
      <x:c r="D69" s="582"/>
      <x:c r="E69" s="582"/>
      <x:c r="F69" s="583"/>
      <x:c r="G69" s="584" t="str">
        <x:f>IF(OR(D69="",E69=""),"",MAX(0,E69-D69))</x:f>
      </x:c>
      <x:c r="H69" s="191" t="str">
        <x:f>IF(OR(B69="",C69="",F69="",G69=""),"",IF(B69="Istanbul",IF(G69&lt;=60,1%,IF(F69&gt;=15000,3%,IF(F69&gt;=12500,1%,0%))),IF(B69="Morocco",IF(C69="Manager",1.5%,IF(G69&lt;=90,1.5%,IF(F69&gt;=15000,1.5%,IF(AND(F69&gt;=12000,F69&lt;=14000),0.5%,0%)))),0%)))</x:f>
      </x:c>
      <x:c r="I69" s="585" t="str">
        <x:f>IF(OR(F69="",H69=""),"",ROUND(F69*H69,2))</x:f>
      </x:c>
      <x:c r="J69" s="624" t="str">
        <x:f>IF(H69="","",IF(H69=0,"Below target",IF(H69=0.005,"0.5% commission",IF(H69=0.01,"1.0% commission",IF(H69=0.015,"1.5% commission","3.0% commission")))))</x:f>
      </x:c>
    </x:row>
    <x:row r="70" ht="22" customHeight="1">
      <x:c r="A70" s="581"/>
      <x:c r="B70" s="187"/>
      <x:c r="C70" s="187"/>
      <x:c r="D70" s="582"/>
      <x:c r="E70" s="582"/>
      <x:c r="F70" s="583"/>
      <x:c r="G70" s="584" t="str">
        <x:f>IF(OR(D70="",E70=""),"",MAX(0,E70-D70))</x:f>
      </x:c>
      <x:c r="H70" s="191" t="str">
        <x:f>IF(OR(B70="",C70="",F70="",G70=""),"",IF(B70="Istanbul",IF(G70&lt;=60,1%,IF(F70&gt;=15000,3%,IF(F70&gt;=12500,1%,0%))),IF(B70="Morocco",IF(C70="Manager",1.5%,IF(G70&lt;=90,1.5%,IF(F70&gt;=15000,1.5%,IF(AND(F70&gt;=12000,F70&lt;=14000),0.5%,0%)))),0%)))</x:f>
      </x:c>
      <x:c r="I70" s="585" t="str">
        <x:f>IF(OR(F70="",H70=""),"",ROUND(F70*H70,2))</x:f>
      </x:c>
      <x:c r="J70" s="624" t="str">
        <x:f>IF(H70="","",IF(H70=0,"Below target",IF(H70=0.005,"0.5% commission",IF(H70=0.01,"1.0% commission",IF(H70=0.015,"1.5% commission","3.0% commission")))))</x:f>
      </x:c>
    </x:row>
    <x:row r="71" ht="22" customHeight="1">
      <x:c r="A71" s="581"/>
      <x:c r="B71" s="187"/>
      <x:c r="C71" s="187"/>
      <x:c r="D71" s="582"/>
      <x:c r="E71" s="582"/>
      <x:c r="F71" s="583"/>
      <x:c r="G71" s="584" t="str">
        <x:f>IF(OR(D71="",E71=""),"",MAX(0,E71-D71))</x:f>
      </x:c>
      <x:c r="H71" s="191" t="str">
        <x:f>IF(OR(B71="",C71="",F71="",G71=""),"",IF(B71="Istanbul",IF(G71&lt;=60,1%,IF(F71&gt;=15000,3%,IF(F71&gt;=12500,1%,0%))),IF(B71="Morocco",IF(C71="Manager",1.5%,IF(G71&lt;=90,1.5%,IF(F71&gt;=15000,1.5%,IF(AND(F71&gt;=12000,F71&lt;=14000),0.5%,0%)))),0%)))</x:f>
      </x:c>
      <x:c r="I71" s="585" t="str">
        <x:f>IF(OR(F71="",H71=""),"",ROUND(F71*H71,2))</x:f>
      </x:c>
      <x:c r="J71" s="624" t="str">
        <x:f>IF(H71="","",IF(H71=0,"Below target",IF(H71=0.005,"0.5% commission",IF(H71=0.01,"1.0% commission",IF(H71=0.015,"1.5% commission","3.0% commission")))))</x:f>
      </x:c>
    </x:row>
    <x:row r="72" ht="22" customHeight="1">
      <x:c r="A72" s="581"/>
      <x:c r="B72" s="187"/>
      <x:c r="C72" s="187"/>
      <x:c r="D72" s="582"/>
      <x:c r="E72" s="582"/>
      <x:c r="F72" s="583"/>
      <x:c r="G72" s="584" t="str">
        <x:f>IF(OR(D72="",E72=""),"",MAX(0,E72-D72))</x:f>
      </x:c>
      <x:c r="H72" s="191" t="str">
        <x:f>IF(OR(B72="",C72="",F72="",G72=""),"",IF(B72="Istanbul",IF(G72&lt;=60,1%,IF(F72&gt;=15000,3%,IF(F72&gt;=12500,1%,0%))),IF(B72="Morocco",IF(C72="Manager",1.5%,IF(G72&lt;=90,1.5%,IF(F72&gt;=15000,1.5%,IF(AND(F72&gt;=12000,F72&lt;=14000),0.5%,0%)))),0%)))</x:f>
      </x:c>
      <x:c r="I72" s="585" t="str">
        <x:f>IF(OR(F72="",H72=""),"",ROUND(F72*H72,2))</x:f>
      </x:c>
      <x:c r="J72" s="624" t="str">
        <x:f>IF(H72="","",IF(H72=0,"Below target",IF(H72=0.005,"0.5% commission",IF(H72=0.01,"1.0% commission",IF(H72=0.015,"1.5% commission","3.0% commission")))))</x:f>
      </x:c>
    </x:row>
    <x:row r="73" ht="22" customHeight="1">
      <x:c r="A73" s="581"/>
      <x:c r="B73" s="187"/>
      <x:c r="C73" s="187"/>
      <x:c r="D73" s="582"/>
      <x:c r="E73" s="582"/>
      <x:c r="F73" s="583"/>
      <x:c r="G73" s="584" t="str">
        <x:f>IF(OR(D73="",E73=""),"",MAX(0,E73-D73))</x:f>
      </x:c>
      <x:c r="H73" s="191" t="str">
        <x:f>IF(OR(B73="",C73="",F73="",G73=""),"",IF(B73="Istanbul",IF(G73&lt;=60,1%,IF(F73&gt;=15000,3%,IF(F73&gt;=12500,1%,0%))),IF(B73="Morocco",IF(C73="Manager",1.5%,IF(G73&lt;=90,1.5%,IF(F73&gt;=15000,1.5%,IF(AND(F73&gt;=12000,F73&lt;=14000),0.5%,0%)))),0%)))</x:f>
      </x:c>
      <x:c r="I73" s="585" t="str">
        <x:f>IF(OR(F73="",H73=""),"",ROUND(F73*H73,2))</x:f>
      </x:c>
      <x:c r="J73" s="624" t="str">
        <x:f>IF(H73="","",IF(H73=0,"Below target",IF(H73=0.005,"0.5% commission",IF(H73=0.01,"1.0% commission",IF(H73=0.015,"1.5% commission","3.0% commission")))))</x:f>
      </x:c>
    </x:row>
    <x:row r="74" ht="22" customHeight="1">
      <x:c r="A74" s="581"/>
      <x:c r="B74" s="187"/>
      <x:c r="C74" s="187"/>
      <x:c r="D74" s="582"/>
      <x:c r="E74" s="582"/>
      <x:c r="F74" s="583"/>
      <x:c r="G74" s="584" t="str">
        <x:f>IF(OR(D74="",E74=""),"",MAX(0,E74-D74))</x:f>
      </x:c>
      <x:c r="H74" s="191" t="str">
        <x:f>IF(OR(B74="",C74="",F74="",G74=""),"",IF(B74="Istanbul",IF(G74&lt;=60,1%,IF(F74&gt;=15000,3%,IF(F74&gt;=12500,1%,0%))),IF(B74="Morocco",IF(C74="Manager",1.5%,IF(G74&lt;=90,1.5%,IF(F74&gt;=15000,1.5%,IF(AND(F74&gt;=12000,F74&lt;=14000),0.5%,0%)))),0%)))</x:f>
      </x:c>
      <x:c r="I74" s="585" t="str">
        <x:f>IF(OR(F74="",H74=""),"",ROUND(F74*H74,2))</x:f>
      </x:c>
      <x:c r="J74" s="624" t="str">
        <x:f>IF(H74="","",IF(H74=0,"Below target",IF(H74=0.005,"0.5% commission",IF(H74=0.01,"1.0% commission",IF(H74=0.015,"1.5% commission","3.0% commission")))))</x:f>
      </x:c>
    </x:row>
    <x:row r="75" ht="22" customHeight="1">
      <x:c r="A75" s="581"/>
      <x:c r="B75" s="187"/>
      <x:c r="C75" s="187"/>
      <x:c r="D75" s="582"/>
      <x:c r="E75" s="582"/>
      <x:c r="F75" s="583"/>
      <x:c r="G75" s="584" t="str">
        <x:f>IF(OR(D75="",E75=""),"",MAX(0,E75-D75))</x:f>
      </x:c>
      <x:c r="H75" s="191" t="str">
        <x:f>IF(OR(B75="",C75="",F75="",G75=""),"",IF(B75="Istanbul",IF(G75&lt;=60,1%,IF(F75&gt;=15000,3%,IF(F75&gt;=12500,1%,0%))),IF(B75="Morocco",IF(C75="Manager",1.5%,IF(G75&lt;=90,1.5%,IF(F75&gt;=15000,1.5%,IF(AND(F75&gt;=12000,F75&lt;=14000),0.5%,0%)))),0%)))</x:f>
      </x:c>
      <x:c r="I75" s="585" t="str">
        <x:f>IF(OR(F75="",H75=""),"",ROUND(F75*H75,2))</x:f>
      </x:c>
      <x:c r="J75" s="624" t="str">
        <x:f>IF(H75="","",IF(H75=0,"Below target",IF(H75=0.005,"0.5% commission",IF(H75=0.01,"1.0% commission",IF(H75=0.015,"1.5% commission","3.0% commission")))))</x:f>
      </x:c>
    </x:row>
    <x:row r="76" ht="22" customHeight="1">
      <x:c r="A76" s="581"/>
      <x:c r="B76" s="187"/>
      <x:c r="C76" s="187"/>
      <x:c r="D76" s="582"/>
      <x:c r="E76" s="582"/>
      <x:c r="F76" s="583"/>
      <x:c r="G76" s="584" t="str">
        <x:f>IF(OR(D76="",E76=""),"",MAX(0,E76-D76))</x:f>
      </x:c>
      <x:c r="H76" s="191" t="str">
        <x:f>IF(OR(B76="",C76="",F76="",G76=""),"",IF(B76="Istanbul",IF(G76&lt;=60,1%,IF(F76&gt;=15000,3%,IF(F76&gt;=12500,1%,0%))),IF(B76="Morocco",IF(C76="Manager",1.5%,IF(G76&lt;=90,1.5%,IF(F76&gt;=15000,1.5%,IF(AND(F76&gt;=12000,F76&lt;=14000),0.5%,0%)))),0%)))</x:f>
      </x:c>
      <x:c r="I76" s="585" t="str">
        <x:f>IF(OR(F76="",H76=""),"",ROUND(F76*H76,2))</x:f>
      </x:c>
      <x:c r="J76" s="624" t="str">
        <x:f>IF(H76="","",IF(H76=0,"Below target",IF(H76=0.005,"0.5% commission",IF(H76=0.01,"1.0% commission",IF(H76=0.015,"1.5% commission","3.0% commission")))))</x:f>
      </x:c>
    </x:row>
    <x:row r="77" ht="22" customHeight="1">
      <x:c r="A77" s="581"/>
      <x:c r="B77" s="187"/>
      <x:c r="C77" s="187"/>
      <x:c r="D77" s="582"/>
      <x:c r="E77" s="582"/>
      <x:c r="F77" s="583"/>
      <x:c r="G77" s="584" t="str">
        <x:f>IF(OR(D77="",E77=""),"",MAX(0,E77-D77))</x:f>
      </x:c>
      <x:c r="H77" s="191" t="str">
        <x:f>IF(OR(B77="",C77="",F77="",G77=""),"",IF(B77="Istanbul",IF(G77&lt;=60,1%,IF(F77&gt;=15000,3%,IF(F77&gt;=12500,1%,0%))),IF(B77="Morocco",IF(C77="Manager",1.5%,IF(G77&lt;=90,1.5%,IF(F77&gt;=15000,1.5%,IF(AND(F77&gt;=12000,F77&lt;=14000),0.5%,0%)))),0%)))</x:f>
      </x:c>
      <x:c r="I77" s="585" t="str">
        <x:f>IF(OR(F77="",H77=""),"",ROUND(F77*H77,2))</x:f>
      </x:c>
      <x:c r="J77" s="624" t="str">
        <x:f>IF(H77="","",IF(H77=0,"Below target",IF(H77=0.005,"0.5% commission",IF(H77=0.01,"1.0% commission",IF(H77=0.015,"1.5% commission","3.0% commission")))))</x:f>
      </x:c>
    </x:row>
    <x:row r="78" ht="22" customHeight="1">
      <x:c r="A78" s="581"/>
      <x:c r="B78" s="187"/>
      <x:c r="C78" s="187"/>
      <x:c r="D78" s="582"/>
      <x:c r="E78" s="582"/>
      <x:c r="F78" s="583"/>
      <x:c r="G78" s="584" t="str">
        <x:f>IF(OR(D78="",E78=""),"",MAX(0,E78-D78))</x:f>
      </x:c>
      <x:c r="H78" s="191" t="str">
        <x:f>IF(OR(B78="",C78="",F78="",G78=""),"",IF(B78="Istanbul",IF(G78&lt;=60,1%,IF(F78&gt;=15000,3%,IF(F78&gt;=12500,1%,0%))),IF(B78="Morocco",IF(C78="Manager",1.5%,IF(G78&lt;=90,1.5%,IF(F78&gt;=15000,1.5%,IF(AND(F78&gt;=12000,F78&lt;=14000),0.5%,0%)))),0%)))</x:f>
      </x:c>
      <x:c r="I78" s="585" t="str">
        <x:f>IF(OR(F78="",H78=""),"",ROUND(F78*H78,2))</x:f>
      </x:c>
      <x:c r="J78" s="624" t="str">
        <x:f>IF(H78="","",IF(H78=0,"Below target",IF(H78=0.005,"0.5% commission",IF(H78=0.01,"1.0% commission",IF(H78=0.015,"1.5% commission","3.0% commission")))))</x:f>
      </x:c>
    </x:row>
    <x:row r="79" ht="22" customHeight="1">
      <x:c r="A79" s="581"/>
      <x:c r="B79" s="187"/>
      <x:c r="C79" s="187"/>
      <x:c r="D79" s="582"/>
      <x:c r="E79" s="582"/>
      <x:c r="F79" s="583"/>
      <x:c r="G79" s="584" t="str">
        <x:f>IF(OR(D79="",E79=""),"",MAX(0,E79-D79))</x:f>
      </x:c>
      <x:c r="H79" s="191" t="str">
        <x:f>IF(OR(B79="",C79="",F79="",G79=""),"",IF(B79="Istanbul",IF(G79&lt;=60,1%,IF(F79&gt;=15000,3%,IF(F79&gt;=12500,1%,0%))),IF(B79="Morocco",IF(C79="Manager",1.5%,IF(G79&lt;=90,1.5%,IF(F79&gt;=15000,1.5%,IF(AND(F79&gt;=12000,F79&lt;=14000),0.5%,0%)))),0%)))</x:f>
      </x:c>
      <x:c r="I79" s="585" t="str">
        <x:f>IF(OR(F79="",H79=""),"",ROUND(F79*H79,2))</x:f>
      </x:c>
      <x:c r="J79" s="624" t="str">
        <x:f>IF(H79="","",IF(H79=0,"Below target",IF(H79=0.005,"0.5% commission",IF(H79=0.01,"1.0% commission",IF(H79=0.015,"1.5% commission","3.0% commission")))))</x:f>
      </x:c>
    </x:row>
    <x:row r="80" ht="22" customHeight="1">
      <x:c r="A80" s="581"/>
      <x:c r="B80" s="187"/>
      <x:c r="C80" s="187"/>
      <x:c r="D80" s="582"/>
      <x:c r="E80" s="582"/>
      <x:c r="F80" s="583"/>
      <x:c r="G80" s="584" t="str">
        <x:f>IF(OR(D80="",E80=""),"",MAX(0,E80-D80))</x:f>
      </x:c>
      <x:c r="H80" s="191" t="str">
        <x:f>IF(OR(B80="",C80="",F80="",G80=""),"",IF(B80="Istanbul",IF(G80&lt;=60,1%,IF(F80&gt;=15000,3%,IF(F80&gt;=12500,1%,0%))),IF(B80="Morocco",IF(C80="Manager",1.5%,IF(G80&lt;=90,1.5%,IF(F80&gt;=15000,1.5%,IF(AND(F80&gt;=12000,F80&lt;=14000),0.5%,0%)))),0%)))</x:f>
      </x:c>
      <x:c r="I80" s="585" t="str">
        <x:f>IF(OR(F80="",H80=""),"",ROUND(F80*H80,2))</x:f>
      </x:c>
      <x:c r="J80" s="624" t="str">
        <x:f>IF(H80="","",IF(H80=0,"Below target",IF(H80=0.005,"0.5% commission",IF(H80=0.01,"1.0% commission",IF(H80=0.015,"1.5% commission","3.0% commission")))))</x:f>
      </x:c>
    </x:row>
    <x:row r="81" ht="22" customHeight="1">
      <x:c r="A81" s="581"/>
      <x:c r="B81" s="187"/>
      <x:c r="C81" s="187"/>
      <x:c r="D81" s="582"/>
      <x:c r="E81" s="582"/>
      <x:c r="F81" s="583"/>
      <x:c r="G81" s="584" t="str">
        <x:f>IF(OR(D81="",E81=""),"",MAX(0,E81-D81))</x:f>
      </x:c>
      <x:c r="H81" s="191" t="str">
        <x:f>IF(OR(B81="",C81="",F81="",G81=""),"",IF(B81="Istanbul",IF(G81&lt;=60,1%,IF(F81&gt;=15000,3%,IF(F81&gt;=12500,1%,0%))),IF(B81="Morocco",IF(C81="Manager",1.5%,IF(G81&lt;=90,1.5%,IF(F81&gt;=15000,1.5%,IF(AND(F81&gt;=12000,F81&lt;=14000),0.5%,0%)))),0%)))</x:f>
      </x:c>
      <x:c r="I81" s="585" t="str">
        <x:f>IF(OR(F81="",H81=""),"",ROUND(F81*H81,2))</x:f>
      </x:c>
      <x:c r="J81" s="624" t="str">
        <x:f>IF(H81="","",IF(H81=0,"Below target",IF(H81=0.005,"0.5% commission",IF(H81=0.01,"1.0% commission",IF(H81=0.015,"1.5% commission","3.0% commission")))))</x:f>
      </x:c>
    </x:row>
    <x:row r="82" ht="22" customHeight="1">
      <x:c r="A82" s="581"/>
      <x:c r="B82" s="187"/>
      <x:c r="C82" s="187"/>
      <x:c r="D82" s="582"/>
      <x:c r="E82" s="582"/>
      <x:c r="F82" s="583"/>
      <x:c r="G82" s="584" t="str">
        <x:f>IF(OR(D82="",E82=""),"",MAX(0,E82-D82))</x:f>
      </x:c>
      <x:c r="H82" s="191" t="str">
        <x:f>IF(OR(B82="",C82="",F82="",G82=""),"",IF(B82="Istanbul",IF(G82&lt;=60,1%,IF(F82&gt;=15000,3%,IF(F82&gt;=12500,1%,0%))),IF(B82="Morocco",IF(C82="Manager",1.5%,IF(G82&lt;=90,1.5%,IF(F82&gt;=15000,1.5%,IF(AND(F82&gt;=12000,F82&lt;=14000),0.5%,0%)))),0%)))</x:f>
      </x:c>
      <x:c r="I82" s="585" t="str">
        <x:f>IF(OR(F82="",H82=""),"",ROUND(F82*H82,2))</x:f>
      </x:c>
      <x:c r="J82" s="624" t="str">
        <x:f>IF(H82="","",IF(H82=0,"Below target",IF(H82=0.005,"0.5% commission",IF(H82=0.01,"1.0% commission",IF(H82=0.015,"1.5% commission","3.0% commission")))))</x:f>
      </x:c>
    </x:row>
    <x:row r="83" ht="22" customHeight="1">
      <x:c r="A83" s="581"/>
      <x:c r="B83" s="187"/>
      <x:c r="C83" s="187"/>
      <x:c r="D83" s="582"/>
      <x:c r="E83" s="582"/>
      <x:c r="F83" s="583"/>
      <x:c r="G83" s="584" t="str">
        <x:f>IF(OR(D83="",E83=""),"",MAX(0,E83-D83))</x:f>
      </x:c>
      <x:c r="H83" s="191" t="str">
        <x:f>IF(OR(B83="",C83="",F83="",G83=""),"",IF(B83="Istanbul",IF(G83&lt;=60,1%,IF(F83&gt;=15000,3%,IF(F83&gt;=12500,1%,0%))),IF(B83="Morocco",IF(C83="Manager",1.5%,IF(G83&lt;=90,1.5%,IF(F83&gt;=15000,1.5%,IF(AND(F83&gt;=12000,F83&lt;=14000),0.5%,0%)))),0%)))</x:f>
      </x:c>
      <x:c r="I83" s="585" t="str">
        <x:f>IF(OR(F83="",H83=""),"",ROUND(F83*H83,2))</x:f>
      </x:c>
      <x:c r="J83" s="624" t="str">
        <x:f>IF(H83="","",IF(H83=0,"Below target",IF(H83=0.005,"0.5% commission",IF(H83=0.01,"1.0% commission",IF(H83=0.015,"1.5% commission","3.0% commission")))))</x:f>
      </x:c>
    </x:row>
    <x:row r="84" ht="22" customHeight="1">
      <x:c r="A84" s="581"/>
      <x:c r="B84" s="187"/>
      <x:c r="C84" s="187"/>
      <x:c r="D84" s="582"/>
      <x:c r="E84" s="582"/>
      <x:c r="F84" s="583"/>
      <x:c r="G84" s="584" t="str">
        <x:f>IF(OR(D84="",E84=""),"",MAX(0,E84-D84))</x:f>
      </x:c>
      <x:c r="H84" s="191" t="str">
        <x:f>IF(OR(B84="",C84="",F84="",G84=""),"",IF(B84="Istanbul",IF(G84&lt;=60,1%,IF(F84&gt;=15000,3%,IF(F84&gt;=12500,1%,0%))),IF(B84="Morocco",IF(C84="Manager",1.5%,IF(G84&lt;=90,1.5%,IF(F84&gt;=15000,1.5%,IF(AND(F84&gt;=12000,F84&lt;=14000),0.5%,0%)))),0%)))</x:f>
      </x:c>
      <x:c r="I84" s="585" t="str">
        <x:f>IF(OR(F84="",H84=""),"",ROUND(F84*H84,2))</x:f>
      </x:c>
      <x:c r="J84" s="624" t="str">
        <x:f>IF(H84="","",IF(H84=0,"Below target",IF(H84=0.005,"0.5% commission",IF(H84=0.01,"1.0% commission",IF(H84=0.015,"1.5% commission","3.0% commission")))))</x:f>
      </x:c>
    </x:row>
    <x:row r="85" ht="22" customHeight="1">
      <x:c r="A85" s="581"/>
      <x:c r="B85" s="187"/>
      <x:c r="C85" s="187"/>
      <x:c r="D85" s="582"/>
      <x:c r="E85" s="582"/>
      <x:c r="F85" s="583"/>
      <x:c r="G85" s="584" t="str">
        <x:f>IF(OR(D85="",E85=""),"",MAX(0,E85-D85))</x:f>
      </x:c>
      <x:c r="H85" s="191" t="str">
        <x:f>IF(OR(B85="",C85="",F85="",G85=""),"",IF(B85="Istanbul",IF(G85&lt;=60,1%,IF(F85&gt;=15000,3%,IF(F85&gt;=12500,1%,0%))),IF(B85="Morocco",IF(C85="Manager",1.5%,IF(G85&lt;=90,1.5%,IF(F85&gt;=15000,1.5%,IF(AND(F85&gt;=12000,F85&lt;=14000),0.5%,0%)))),0%)))</x:f>
      </x:c>
      <x:c r="I85" s="585" t="str">
        <x:f>IF(OR(F85="",H85=""),"",ROUND(F85*H85,2))</x:f>
      </x:c>
      <x:c r="J85" s="624" t="str">
        <x:f>IF(H85="","",IF(H85=0,"Below target",IF(H85=0.005,"0.5% commission",IF(H85=0.01,"1.0% commission",IF(H85=0.015,"1.5% commission","3.0% commission")))))</x:f>
      </x:c>
    </x:row>
    <x:row r="86" ht="22" customHeight="1">
      <x:c r="A86" s="581"/>
      <x:c r="B86" s="187"/>
      <x:c r="C86" s="187"/>
      <x:c r="D86" s="582"/>
      <x:c r="E86" s="582"/>
      <x:c r="F86" s="583"/>
      <x:c r="G86" s="584" t="str">
        <x:f>IF(OR(D86="",E86=""),"",MAX(0,E86-D86))</x:f>
      </x:c>
      <x:c r="H86" s="191" t="str">
        <x:f>IF(OR(B86="",C86="",F86="",G86=""),"",IF(B86="Istanbul",IF(G86&lt;=60,1%,IF(F86&gt;=15000,3%,IF(F86&gt;=12500,1%,0%))),IF(B86="Morocco",IF(C86="Manager",1.5%,IF(G86&lt;=90,1.5%,IF(F86&gt;=15000,1.5%,IF(AND(F86&gt;=12000,F86&lt;=14000),0.5%,0%)))),0%)))</x:f>
      </x:c>
      <x:c r="I86" s="585" t="str">
        <x:f>IF(OR(F86="",H86=""),"",ROUND(F86*H86,2))</x:f>
      </x:c>
      <x:c r="J86" s="624" t="str">
        <x:f>IF(H86="","",IF(H86=0,"Below target",IF(H86=0.005,"0.5% commission",IF(H86=0.01,"1.0% commission",IF(H86=0.015,"1.5% commission","3.0% commission")))))</x:f>
      </x:c>
    </x:row>
    <x:row r="87" ht="22" customHeight="1">
      <x:c r="A87" s="581"/>
      <x:c r="B87" s="187"/>
      <x:c r="C87" s="187"/>
      <x:c r="D87" s="582"/>
      <x:c r="E87" s="582"/>
      <x:c r="F87" s="583"/>
      <x:c r="G87" s="584" t="str">
        <x:f>IF(OR(D87="",E87=""),"",MAX(0,E87-D87))</x:f>
      </x:c>
      <x:c r="H87" s="191" t="str">
        <x:f>IF(OR(B87="",C87="",F87="",G87=""),"",IF(B87="Istanbul",IF(G87&lt;=60,1%,IF(F87&gt;=15000,3%,IF(F87&gt;=12500,1%,0%))),IF(B87="Morocco",IF(C87="Manager",1.5%,IF(G87&lt;=90,1.5%,IF(F87&gt;=15000,1.5%,IF(AND(F87&gt;=12000,F87&lt;=14000),0.5%,0%)))),0%)))</x:f>
      </x:c>
      <x:c r="I87" s="585" t="str">
        <x:f>IF(OR(F87="",H87=""),"",ROUND(F87*H87,2))</x:f>
      </x:c>
      <x:c r="J87" s="624" t="str">
        <x:f>IF(H87="","",IF(H87=0,"Below target",IF(H87=0.005,"0.5% commission",IF(H87=0.01,"1.0% commission",IF(H87=0.015,"1.5% commission","3.0% commission")))))</x:f>
      </x:c>
    </x:row>
    <x:row r="88" ht="22" customHeight="1">
      <x:c r="A88" s="581"/>
      <x:c r="B88" s="187"/>
      <x:c r="C88" s="187"/>
      <x:c r="D88" s="582"/>
      <x:c r="E88" s="582"/>
      <x:c r="F88" s="583"/>
      <x:c r="G88" s="584" t="str">
        <x:f>IF(OR(D88="",E88=""),"",MAX(0,E88-D88))</x:f>
      </x:c>
      <x:c r="H88" s="191" t="str">
        <x:f>IF(OR(B88="",C88="",F88="",G88=""),"",IF(B88="Istanbul",IF(G88&lt;=60,1%,IF(F88&gt;=15000,3%,IF(F88&gt;=12500,1%,0%))),IF(B88="Morocco",IF(C88="Manager",1.5%,IF(G88&lt;=90,1.5%,IF(F88&gt;=15000,1.5%,IF(AND(F88&gt;=12000,F88&lt;=14000),0.5%,0%)))),0%)))</x:f>
      </x:c>
      <x:c r="I88" s="585" t="str">
        <x:f>IF(OR(F88="",H88=""),"",ROUND(F88*H88,2))</x:f>
      </x:c>
      <x:c r="J88" s="624" t="str">
        <x:f>IF(H88="","",IF(H88=0,"Below target",IF(H88=0.005,"0.5% commission",IF(H88=0.01,"1.0% commission",IF(H88=0.015,"1.5% commission","3.0% commission")))))</x:f>
      </x:c>
    </x:row>
    <x:row r="89" ht="22" customHeight="1">
      <x:c r="A89" s="581"/>
      <x:c r="B89" s="187"/>
      <x:c r="C89" s="187"/>
      <x:c r="D89" s="582"/>
      <x:c r="E89" s="582"/>
      <x:c r="F89" s="583"/>
      <x:c r="G89" s="584" t="str">
        <x:f>IF(OR(D89="",E89=""),"",MAX(0,E89-D89))</x:f>
      </x:c>
      <x:c r="H89" s="191" t="str">
        <x:f>IF(OR(B89="",C89="",F89="",G89=""),"",IF(B89="Istanbul",IF(G89&lt;=60,1%,IF(F89&gt;=15000,3%,IF(F89&gt;=12500,1%,0%))),IF(B89="Morocco",IF(C89="Manager",1.5%,IF(G89&lt;=90,1.5%,IF(F89&gt;=15000,1.5%,IF(AND(F89&gt;=12000,F89&lt;=14000),0.5%,0%)))),0%)))</x:f>
      </x:c>
      <x:c r="I89" s="585" t="str">
        <x:f>IF(OR(F89="",H89=""),"",ROUND(F89*H89,2))</x:f>
      </x:c>
      <x:c r="J89" s="624" t="str">
        <x:f>IF(H89="","",IF(H89=0,"Below target",IF(H89=0.005,"0.5% commission",IF(H89=0.01,"1.0% commission",IF(H89=0.015,"1.5% commission","3.0% commission")))))</x:f>
      </x:c>
    </x:row>
    <x:row r="90" ht="22" customHeight="1">
      <x:c r="A90" s="581"/>
      <x:c r="B90" s="187"/>
      <x:c r="C90" s="187"/>
      <x:c r="D90" s="582"/>
      <x:c r="E90" s="582"/>
      <x:c r="F90" s="583"/>
      <x:c r="G90" s="584" t="str">
        <x:f>IF(OR(D90="",E90=""),"",MAX(0,E90-D90))</x:f>
      </x:c>
      <x:c r="H90" s="191" t="str">
        <x:f>IF(OR(B90="",C90="",F90="",G90=""),"",IF(B90="Istanbul",IF(G90&lt;=60,1%,IF(F90&gt;=15000,3%,IF(F90&gt;=12500,1%,0%))),IF(B90="Morocco",IF(C90="Manager",1.5%,IF(G90&lt;=90,1.5%,IF(F90&gt;=15000,1.5%,IF(AND(F90&gt;=12000,F90&lt;=14000),0.5%,0%)))),0%)))</x:f>
      </x:c>
      <x:c r="I90" s="585" t="str">
        <x:f>IF(OR(F90="",H90=""),"",ROUND(F90*H90,2))</x:f>
      </x:c>
      <x:c r="J90" s="624" t="str">
        <x:f>IF(H90="","",IF(H90=0,"Below target",IF(H90=0.005,"0.5% commission",IF(H90=0.01,"1.0% commission",IF(H90=0.015,"1.5% commission","3.0% commission")))))</x:f>
      </x:c>
    </x:row>
    <x:row r="91" ht="22" customHeight="1">
      <x:c r="A91" s="581"/>
      <x:c r="B91" s="187"/>
      <x:c r="C91" s="187"/>
      <x:c r="D91" s="582"/>
      <x:c r="E91" s="582"/>
      <x:c r="F91" s="583"/>
      <x:c r="G91" s="584" t="str">
        <x:f>IF(OR(D91="",E91=""),"",MAX(0,E91-D91))</x:f>
      </x:c>
      <x:c r="H91" s="191" t="str">
        <x:f>IF(OR(B91="",C91="",F91="",G91=""),"",IF(B91="Istanbul",IF(G91&lt;=60,1%,IF(F91&gt;=15000,3%,IF(F91&gt;=12500,1%,0%))),IF(B91="Morocco",IF(C91="Manager",1.5%,IF(G91&lt;=90,1.5%,IF(F91&gt;=15000,1.5%,IF(AND(F91&gt;=12000,F91&lt;=14000),0.5%,0%)))),0%)))</x:f>
      </x:c>
      <x:c r="I91" s="585" t="str">
        <x:f>IF(OR(F91="",H91=""),"",ROUND(F91*H91,2))</x:f>
      </x:c>
      <x:c r="J91" s="624" t="str">
        <x:f>IF(H91="","",IF(H91=0,"Below target",IF(H91=0.005,"0.5% commission",IF(H91=0.01,"1.0% commission",IF(H91=0.015,"1.5% commission","3.0% commission")))))</x:f>
      </x:c>
    </x:row>
    <x:row r="92" ht="22" customHeight="1">
      <x:c r="A92" s="581"/>
      <x:c r="B92" s="187"/>
      <x:c r="C92" s="187"/>
      <x:c r="D92" s="582"/>
      <x:c r="E92" s="582"/>
      <x:c r="F92" s="583"/>
      <x:c r="G92" s="584" t="str">
        <x:f>IF(OR(D92="",E92=""),"",MAX(0,E92-D92))</x:f>
      </x:c>
      <x:c r="H92" s="191" t="str">
        <x:f>IF(OR(B92="",C92="",F92="",G92=""),"",IF(B92="Istanbul",IF(G92&lt;=60,1%,IF(F92&gt;=15000,3%,IF(F92&gt;=12500,1%,0%))),IF(B92="Morocco",IF(C92="Manager",1.5%,IF(G92&lt;=90,1.5%,IF(F92&gt;=15000,1.5%,IF(AND(F92&gt;=12000,F92&lt;=14000),0.5%,0%)))),0%)))</x:f>
      </x:c>
      <x:c r="I92" s="585" t="str">
        <x:f>IF(OR(F92="",H92=""),"",ROUND(F92*H92,2))</x:f>
      </x:c>
      <x:c r="J92" s="624" t="str">
        <x:f>IF(H92="","",IF(H92=0,"Below target",IF(H92=0.005,"0.5% commission",IF(H92=0.01,"1.0% commission",IF(H92=0.015,"1.5% commission","3.0% commission")))))</x:f>
      </x:c>
    </x:row>
    <x:row r="93" ht="22" customHeight="1">
      <x:c r="A93" s="581"/>
      <x:c r="B93" s="187"/>
      <x:c r="C93" s="187"/>
      <x:c r="D93" s="582"/>
      <x:c r="E93" s="582"/>
      <x:c r="F93" s="583"/>
      <x:c r="G93" s="584" t="str">
        <x:f>IF(OR(D93="",E93=""),"",MAX(0,E93-D93))</x:f>
      </x:c>
      <x:c r="H93" s="191" t="str">
        <x:f>IF(OR(B93="",C93="",F93="",G93=""),"",IF(B93="Istanbul",IF(G93&lt;=60,1%,IF(F93&gt;=15000,3%,IF(F93&gt;=12500,1%,0%))),IF(B93="Morocco",IF(C93="Manager",1.5%,IF(G93&lt;=90,1.5%,IF(F93&gt;=15000,1.5%,IF(AND(F93&gt;=12000,F93&lt;=14000),0.5%,0%)))),0%)))</x:f>
      </x:c>
      <x:c r="I93" s="585" t="str">
        <x:f>IF(OR(F93="",H93=""),"",ROUND(F93*H93,2))</x:f>
      </x:c>
      <x:c r="J93" s="624" t="str">
        <x:f>IF(H93="","",IF(H93=0,"Below target",IF(H93=0.005,"0.5% commission",IF(H93=0.01,"1.0% commission",IF(H93=0.015,"1.5% commission","3.0% commission")))))</x:f>
      </x:c>
    </x:row>
    <x:row r="94" ht="22" customHeight="1">
      <x:c r="A94" s="581"/>
      <x:c r="B94" s="187"/>
      <x:c r="C94" s="187"/>
      <x:c r="D94" s="582"/>
      <x:c r="E94" s="582"/>
      <x:c r="F94" s="583"/>
      <x:c r="G94" s="584" t="str">
        <x:f>IF(OR(D94="",E94=""),"",MAX(0,E94-D94))</x:f>
      </x:c>
      <x:c r="H94" s="191" t="str">
        <x:f>IF(OR(B94="",C94="",F94="",G94=""),"",IF(B94="Istanbul",IF(G94&lt;=60,1%,IF(F94&gt;=15000,3%,IF(F94&gt;=12500,1%,0%))),IF(B94="Morocco",IF(C94="Manager",1.5%,IF(G94&lt;=90,1.5%,IF(F94&gt;=15000,1.5%,IF(AND(F94&gt;=12000,F94&lt;=14000),0.5%,0%)))),0%)))</x:f>
      </x:c>
      <x:c r="I94" s="585" t="str">
        <x:f>IF(OR(F94="",H94=""),"",ROUND(F94*H94,2))</x:f>
      </x:c>
      <x:c r="J94" s="624" t="str">
        <x:f>IF(H94="","",IF(H94=0,"Below target",IF(H94=0.005,"0.5% commission",IF(H94=0.01,"1.0% commission",IF(H94=0.015,"1.5% commission","3.0% commission")))))</x:f>
      </x:c>
    </x:row>
    <x:row r="95" ht="22" customHeight="1">
      <x:c r="A95" s="581"/>
      <x:c r="B95" s="187"/>
      <x:c r="C95" s="187"/>
      <x:c r="D95" s="582"/>
      <x:c r="E95" s="582"/>
      <x:c r="F95" s="583"/>
      <x:c r="G95" s="584" t="str">
        <x:f>IF(OR(D95="",E95=""),"",MAX(0,E95-D95))</x:f>
      </x:c>
      <x:c r="H95" s="191" t="str">
        <x:f>IF(OR(B95="",C95="",F95="",G95=""),"",IF(B95="Istanbul",IF(G95&lt;=60,1%,IF(F95&gt;=15000,3%,IF(F95&gt;=12500,1%,0%))),IF(B95="Morocco",IF(C95="Manager",1.5%,IF(G95&lt;=90,1.5%,IF(F95&gt;=15000,1.5%,IF(AND(F95&gt;=12000,F95&lt;=14000),0.5%,0%)))),0%)))</x:f>
      </x:c>
      <x:c r="I95" s="585" t="str">
        <x:f>IF(OR(F95="",H95=""),"",ROUND(F95*H95,2))</x:f>
      </x:c>
      <x:c r="J95" s="624" t="str">
        <x:f>IF(H95="","",IF(H95=0,"Below target",IF(H95=0.005,"0.5% commission",IF(H95=0.01,"1.0% commission",IF(H95=0.015,"1.5% commission","3.0% commission")))))</x:f>
      </x:c>
    </x:row>
    <x:row r="96" ht="22" customHeight="1">
      <x:c r="A96" s="581"/>
      <x:c r="B96" s="187"/>
      <x:c r="C96" s="187"/>
      <x:c r="D96" s="582"/>
      <x:c r="E96" s="582"/>
      <x:c r="F96" s="583"/>
      <x:c r="G96" s="584" t="str">
        <x:f>IF(OR(D96="",E96=""),"",MAX(0,E96-D96))</x:f>
      </x:c>
      <x:c r="H96" s="191" t="str">
        <x:f>IF(OR(B96="",C96="",F96="",G96=""),"",IF(B96="Istanbul",IF(G96&lt;=60,1%,IF(F96&gt;=15000,3%,IF(F96&gt;=12500,1%,0%))),IF(B96="Morocco",IF(C96="Manager",1.5%,IF(G96&lt;=90,1.5%,IF(F96&gt;=15000,1.5%,IF(AND(F96&gt;=12000,F96&lt;=14000),0.5%,0%)))),0%)))</x:f>
      </x:c>
      <x:c r="I96" s="585" t="str">
        <x:f>IF(OR(F96="",H96=""),"",ROUND(F96*H96,2))</x:f>
      </x:c>
      <x:c r="J96" s="624" t="str">
        <x:f>IF(H96="","",IF(H96=0,"Below target",IF(H96=0.005,"0.5% commission",IF(H96=0.01,"1.0% commission",IF(H96=0.015,"1.5% commission","3.0% commission")))))</x:f>
      </x:c>
    </x:row>
    <x:row r="97" ht="22" customHeight="1">
      <x:c r="A97" s="581"/>
      <x:c r="B97" s="187"/>
      <x:c r="C97" s="187"/>
      <x:c r="D97" s="582"/>
      <x:c r="E97" s="582"/>
      <x:c r="F97" s="583"/>
      <x:c r="G97" s="584" t="str">
        <x:f>IF(OR(D97="",E97=""),"",MAX(0,E97-D97))</x:f>
      </x:c>
      <x:c r="H97" s="191" t="str">
        <x:f>IF(OR(B97="",C97="",F97="",G97=""),"",IF(B97="Istanbul",IF(G97&lt;=60,1%,IF(F97&gt;=15000,3%,IF(F97&gt;=12500,1%,0%))),IF(B97="Morocco",IF(C97="Manager",1.5%,IF(G97&lt;=90,1.5%,IF(F97&gt;=15000,1.5%,IF(AND(F97&gt;=12000,F97&lt;=14000),0.5%,0%)))),0%)))</x:f>
      </x:c>
      <x:c r="I97" s="585" t="str">
        <x:f>IF(OR(F97="",H97=""),"",ROUND(F97*H97,2))</x:f>
      </x:c>
      <x:c r="J97" s="624" t="str">
        <x:f>IF(H97="","",IF(H97=0,"Below target",IF(H97=0.005,"0.5% commission",IF(H97=0.01,"1.0% commission",IF(H97=0.015,"1.5% commission","3.0% commission")))))</x:f>
      </x:c>
    </x:row>
    <x:row r="98" ht="22" customHeight="1">
      <x:c r="A98" s="581"/>
      <x:c r="B98" s="187"/>
      <x:c r="C98" s="187"/>
      <x:c r="D98" s="582"/>
      <x:c r="E98" s="582"/>
      <x:c r="F98" s="583"/>
      <x:c r="G98" s="584" t="str">
        <x:f>IF(OR(D98="",E98=""),"",MAX(0,E98-D98))</x:f>
      </x:c>
      <x:c r="H98" s="191" t="str">
        <x:f>IF(OR(B98="",C98="",F98="",G98=""),"",IF(B98="Istanbul",IF(G98&lt;=60,1%,IF(F98&gt;=15000,3%,IF(F98&gt;=12500,1%,0%))),IF(B98="Morocco",IF(C98="Manager",1.5%,IF(G98&lt;=90,1.5%,IF(F98&gt;=15000,1.5%,IF(AND(F98&gt;=12000,F98&lt;=14000),0.5%,0%)))),0%)))</x:f>
      </x:c>
      <x:c r="I98" s="585" t="str">
        <x:f>IF(OR(F98="",H98=""),"",ROUND(F98*H98,2))</x:f>
      </x:c>
      <x:c r="J98" s="624" t="str">
        <x:f>IF(H98="","",IF(H98=0,"Below target",IF(H98=0.005,"0.5% commission",IF(H98=0.01,"1.0% commission",IF(H98=0.015,"1.5% commission","3.0% commission")))))</x:f>
      </x:c>
    </x:row>
    <x:row r="99" ht="22" customHeight="1">
      <x:c r="A99" s="581"/>
      <x:c r="B99" s="187"/>
      <x:c r="C99" s="187"/>
      <x:c r="D99" s="582"/>
      <x:c r="E99" s="582"/>
      <x:c r="F99" s="583"/>
      <x:c r="G99" s="584" t="str">
        <x:f>IF(OR(D99="",E99=""),"",MAX(0,E99-D99))</x:f>
      </x:c>
      <x:c r="H99" s="191" t="str">
        <x:f>IF(OR(B99="",C99="",F99="",G99=""),"",IF(B99="Istanbul",IF(G99&lt;=60,1%,IF(F99&gt;=15000,3%,IF(F99&gt;=12500,1%,0%))),IF(B99="Morocco",IF(C99="Manager",1.5%,IF(G99&lt;=90,1.5%,IF(F99&gt;=15000,1.5%,IF(AND(F99&gt;=12000,F99&lt;=14000),0.5%,0%)))),0%)))</x:f>
      </x:c>
      <x:c r="I99" s="585" t="str">
        <x:f>IF(OR(F99="",H99=""),"",ROUND(F99*H99,2))</x:f>
      </x:c>
      <x:c r="J99" s="624" t="str">
        <x:f>IF(H99="","",IF(H99=0,"Below target",IF(H99=0.005,"0.5% commission",IF(H99=0.01,"1.0% commission",IF(H99=0.015,"1.5% commission","3.0% commission")))))</x:f>
      </x:c>
    </x:row>
    <x:row r="100" ht="22" customHeight="1">
      <x:c r="A100" s="581"/>
      <x:c r="B100" s="187"/>
      <x:c r="C100" s="187"/>
      <x:c r="D100" s="582"/>
      <x:c r="E100" s="582"/>
      <x:c r="F100" s="583"/>
      <x:c r="G100" s="584" t="str">
        <x:f>IF(OR(D100="",E100=""),"",MAX(0,E100-D100))</x:f>
      </x:c>
      <x:c r="H100" s="191" t="str">
        <x:f>IF(OR(B100="",C100="",F100="",G100=""),"",IF(B100="Istanbul",IF(G100&lt;=60,1%,IF(F100&gt;=15000,3%,IF(F100&gt;=12500,1%,0%))),IF(B100="Morocco",IF(C100="Manager",1.5%,IF(G100&lt;=90,1.5%,IF(F100&gt;=15000,1.5%,IF(AND(F100&gt;=12000,F100&lt;=14000),0.5%,0%)))),0%)))</x:f>
      </x:c>
      <x:c r="I100" s="585" t="str">
        <x:f>IF(OR(F100="",H100=""),"",ROUND(F100*H100,2))</x:f>
      </x:c>
      <x:c r="J100" s="624" t="str">
        <x:f>IF(H100="","",IF(H100=0,"Below target",IF(H100=0.005,"0.5% commission",IF(H100=0.01,"1.0% commission",IF(H100=0.015,"1.5% commission","3.0% commission")))))</x:f>
      </x:c>
    </x:row>
    <x:row r="101" ht="22" customHeight="1">
      <x:c r="A101" s="581"/>
      <x:c r="B101" s="187"/>
      <x:c r="C101" s="187"/>
      <x:c r="D101" s="582"/>
      <x:c r="E101" s="582"/>
      <x:c r="F101" s="583"/>
      <x:c r="G101" s="584" t="str">
        <x:f>IF(OR(D101="",E101=""),"",MAX(0,E101-D101))</x:f>
      </x:c>
      <x:c r="H101" s="191" t="str">
        <x:f>IF(OR(B101="",C101="",F101="",G101=""),"",IF(B101="Istanbul",IF(G101&lt;=60,1%,IF(F101&gt;=15000,3%,IF(F101&gt;=12500,1%,0%))),IF(B101="Morocco",IF(C101="Manager",1.5%,IF(G101&lt;=90,1.5%,IF(F101&gt;=15000,1.5%,IF(AND(F101&gt;=12000,F101&lt;=14000),0.5%,0%)))),0%)))</x:f>
      </x:c>
      <x:c r="I101" s="585" t="str">
        <x:f>IF(OR(F101="",H101=""),"",ROUND(F101*H101,2))</x:f>
      </x:c>
      <x:c r="J101" s="624" t="str">
        <x:f>IF(H101="","",IF(H101=0,"Below target",IF(H101=0.005,"0.5% commission",IF(H101=0.01,"1.0% commission",IF(H101=0.015,"1.5% commission","3.0% commission")))))</x:f>
      </x:c>
    </x:row>
    <x:row r="102" ht="22" customHeight="1">
      <x:c r="A102" s="581"/>
      <x:c r="B102" s="187"/>
      <x:c r="C102" s="187"/>
      <x:c r="D102" s="582"/>
      <x:c r="E102" s="582"/>
      <x:c r="F102" s="583"/>
      <x:c r="G102" s="584" t="str">
        <x:f>IF(OR(D102="",E102=""),"",MAX(0,E102-D102))</x:f>
      </x:c>
      <x:c r="H102" s="191" t="str">
        <x:f>IF(OR(B102="",C102="",F102="",G102=""),"",IF(B102="Istanbul",IF(G102&lt;=60,1%,IF(F102&gt;=15000,3%,IF(F102&gt;=12500,1%,0%))),IF(B102="Morocco",IF(C102="Manager",1.5%,IF(G102&lt;=90,1.5%,IF(F102&gt;=15000,1.5%,IF(AND(F102&gt;=12000,F102&lt;=14000),0.5%,0%)))),0%)))</x:f>
      </x:c>
      <x:c r="I102" s="585" t="str">
        <x:f>IF(OR(F102="",H102=""),"",ROUND(F102*H102,2))</x:f>
      </x:c>
      <x:c r="J102" s="624" t="str">
        <x:f>IF(H102="","",IF(H102=0,"Below target",IF(H102=0.005,"0.5% commission",IF(H102=0.01,"1.0% commission",IF(H102=0.015,"1.5% commission","3.0% commission")))))</x:f>
      </x:c>
    </x:row>
    <x:row r="103" ht="22" customHeight="1">
      <x:c r="A103" s="581"/>
      <x:c r="B103" s="187"/>
      <x:c r="C103" s="187"/>
      <x:c r="D103" s="582"/>
      <x:c r="E103" s="582"/>
      <x:c r="F103" s="583"/>
      <x:c r="G103" s="584" t="str">
        <x:f>IF(OR(D103="",E103=""),"",MAX(0,E103-D103))</x:f>
      </x:c>
      <x:c r="H103" s="191" t="str">
        <x:f>IF(OR(B103="",C103="",F103="",G103=""),"",IF(B103="Istanbul",IF(G103&lt;=60,1%,IF(F103&gt;=15000,3%,IF(F103&gt;=12500,1%,0%))),IF(B103="Morocco",IF(C103="Manager",1.5%,IF(G103&lt;=90,1.5%,IF(F103&gt;=15000,1.5%,IF(AND(F103&gt;=12000,F103&lt;=14000),0.5%,0%)))),0%)))</x:f>
      </x:c>
      <x:c r="I103" s="585" t="str">
        <x:f>IF(OR(F103="",H103=""),"",ROUND(F103*H103,2))</x:f>
      </x:c>
      <x:c r="J103" s="624" t="str">
        <x:f>IF(H103="","",IF(H103=0,"Below target",IF(H103=0.005,"0.5% commission",IF(H103=0.01,"1.0% commission",IF(H103=0.015,"1.5% commission","3.0% commission")))))</x:f>
      </x:c>
    </x:row>
    <x:row r="104" ht="22" customHeight="1">
      <x:c r="A104" s="581"/>
      <x:c r="B104" s="187"/>
      <x:c r="C104" s="187"/>
      <x:c r="D104" s="582"/>
      <x:c r="E104" s="582"/>
      <x:c r="F104" s="583"/>
      <x:c r="G104" s="584" t="str">
        <x:f>IF(OR(D104="",E104=""),"",MAX(0,E104-D104))</x:f>
      </x:c>
      <x:c r="H104" s="191" t="str">
        <x:f>IF(OR(B104="",C104="",F104="",G104=""),"",IF(B104="Istanbul",IF(G104&lt;=60,1%,IF(F104&gt;=15000,3%,IF(F104&gt;=12500,1%,0%))),IF(B104="Morocco",IF(C104="Manager",1.5%,IF(G104&lt;=90,1.5%,IF(F104&gt;=15000,1.5%,IF(AND(F104&gt;=12000,F104&lt;=14000),0.5%,0%)))),0%)))</x:f>
      </x:c>
      <x:c r="I104" s="585" t="str">
        <x:f>IF(OR(F104="",H104=""),"",ROUND(F104*H104,2))</x:f>
      </x:c>
      <x:c r="J104" s="624" t="str">
        <x:f>IF(H104="","",IF(H104=0,"Below target",IF(H104=0.005,"0.5% commission",IF(H104=0.01,"1.0% commission",IF(H104=0.015,"1.5% commission","3.0% commission")))))</x:f>
      </x:c>
    </x:row>
    <x:row r="105" ht="22" customHeight="1">
      <x:c r="A105" s="581"/>
      <x:c r="B105" s="187"/>
      <x:c r="C105" s="187"/>
      <x:c r="D105" s="582"/>
      <x:c r="E105" s="582"/>
      <x:c r="F105" s="583"/>
      <x:c r="G105" s="584" t="str">
        <x:f>IF(OR(D105="",E105=""),"",MAX(0,E105-D105))</x:f>
      </x:c>
      <x:c r="H105" s="191" t="str">
        <x:f>IF(OR(B105="",C105="",F105="",G105=""),"",IF(B105="Istanbul",IF(G105&lt;=60,1%,IF(F105&gt;=15000,3%,IF(F105&gt;=12500,1%,0%))),IF(B105="Morocco",IF(C105="Manager",1.5%,IF(G105&lt;=90,1.5%,IF(F105&gt;=15000,1.5%,IF(AND(F105&gt;=12000,F105&lt;=14000),0.5%,0%)))),0%)))</x:f>
      </x:c>
      <x:c r="I105" s="585" t="str">
        <x:f>IF(OR(F105="",H105=""),"",ROUND(F105*H105,2))</x:f>
      </x:c>
      <x:c r="J105" s="624" t="str">
        <x:f>IF(H105="","",IF(H105=0,"Below target",IF(H105=0.005,"0.5% commission",IF(H105=0.01,"1.0% commission",IF(H105=0.015,"1.5% commission","3.0% commission")))))</x:f>
      </x:c>
    </x:row>
    <x:row r="106" ht="22" customHeight="1">
      <x:c r="A106" s="581"/>
      <x:c r="B106" s="187"/>
      <x:c r="C106" s="187"/>
      <x:c r="D106" s="582"/>
      <x:c r="E106" s="582"/>
      <x:c r="F106" s="583"/>
      <x:c r="G106" s="584" t="str">
        <x:f>IF(OR(D106="",E106=""),"",MAX(0,E106-D106))</x:f>
      </x:c>
      <x:c r="H106" s="191" t="str">
        <x:f>IF(OR(B106="",C106="",F106="",G106=""),"",IF(B106="Istanbul",IF(G106&lt;=60,1%,IF(F106&gt;=15000,3%,IF(F106&gt;=12500,1%,0%))),IF(B106="Morocco",IF(C106="Manager",1.5%,IF(G106&lt;=90,1.5%,IF(F106&gt;=15000,1.5%,IF(AND(F106&gt;=12000,F106&lt;=14000),0.5%,0%)))),0%)))</x:f>
      </x:c>
      <x:c r="I106" s="585" t="str">
        <x:f>IF(OR(F106="",H106=""),"",ROUND(F106*H106,2))</x:f>
      </x:c>
      <x:c r="J106" s="624" t="str">
        <x:f>IF(H106="","",IF(H106=0,"Below target",IF(H106=0.005,"0.5% commission",IF(H106=0.01,"1.0% commission",IF(H106=0.015,"1.5% commission","3.0% commission")))))</x:f>
      </x:c>
    </x:row>
    <x:row r="107" ht="22" customHeight="1">
      <x:c r="A107" s="581"/>
      <x:c r="B107" s="187"/>
      <x:c r="C107" s="187"/>
      <x:c r="D107" s="582"/>
      <x:c r="E107" s="582"/>
      <x:c r="F107" s="583"/>
      <x:c r="G107" s="584" t="str">
        <x:f>IF(OR(D107="",E107=""),"",MAX(0,E107-D107))</x:f>
      </x:c>
      <x:c r="H107" s="191" t="str">
        <x:f>IF(OR(B107="",C107="",F107="",G107=""),"",IF(B107="Istanbul",IF(G107&lt;=60,1%,IF(F107&gt;=15000,3%,IF(F107&gt;=12500,1%,0%))),IF(B107="Morocco",IF(C107="Manager",1.5%,IF(G107&lt;=90,1.5%,IF(F107&gt;=15000,1.5%,IF(AND(F107&gt;=12000,F107&lt;=14000),0.5%,0%)))),0%)))</x:f>
      </x:c>
      <x:c r="I107" s="585" t="str">
        <x:f>IF(OR(F107="",H107=""),"",ROUND(F107*H107,2))</x:f>
      </x:c>
      <x:c r="J107" s="624" t="str">
        <x:f>IF(H107="","",IF(H107=0,"Below target",IF(H107=0.005,"0.5% commission",IF(H107=0.01,"1.0% commission",IF(H107=0.015,"1.5% commission","3.0% commission")))))</x:f>
      </x:c>
    </x:row>
    <x:row r="108" ht="22" customHeight="1">
      <x:c r="A108" s="581"/>
      <x:c r="B108" s="187"/>
      <x:c r="C108" s="187"/>
      <x:c r="D108" s="582"/>
      <x:c r="E108" s="582"/>
      <x:c r="F108" s="583"/>
      <x:c r="G108" s="584" t="str">
        <x:f>IF(OR(D108="",E108=""),"",MAX(0,E108-D108))</x:f>
      </x:c>
      <x:c r="H108" s="191" t="str">
        <x:f>IF(OR(B108="",C108="",F108="",G108=""),"",IF(B108="Istanbul",IF(G108&lt;=60,1%,IF(F108&gt;=15000,3%,IF(F108&gt;=12500,1%,0%))),IF(B108="Morocco",IF(C108="Manager",1.5%,IF(G108&lt;=90,1.5%,IF(F108&gt;=15000,1.5%,IF(AND(F108&gt;=12000,F108&lt;=14000),0.5%,0%)))),0%)))</x:f>
      </x:c>
      <x:c r="I108" s="585" t="str">
        <x:f>IF(OR(F108="",H108=""),"",ROUND(F108*H108,2))</x:f>
      </x:c>
      <x:c r="J108" s="624" t="str">
        <x:f>IF(H108="","",IF(H108=0,"Below target",IF(H108=0.005,"0.5% commission",IF(H108=0.01,"1.0% commission",IF(H108=0.015,"1.5% commission","3.0% commission")))))</x:f>
      </x:c>
    </x:row>
    <x:row r="109" ht="22" customHeight="1">
      <x:c r="A109" s="581"/>
      <x:c r="B109" s="187"/>
      <x:c r="C109" s="187"/>
      <x:c r="D109" s="582"/>
      <x:c r="E109" s="582"/>
      <x:c r="F109" s="583"/>
      <x:c r="G109" s="584" t="str">
        <x:f>IF(OR(D109="",E109=""),"",MAX(0,E109-D109))</x:f>
      </x:c>
      <x:c r="H109" s="191" t="str">
        <x:f>IF(OR(B109="",C109="",F109="",G109=""),"",IF(B109="Istanbul",IF(G109&lt;=60,1%,IF(F109&gt;=15000,3%,IF(F109&gt;=12500,1%,0%))),IF(B109="Morocco",IF(C109="Manager",1.5%,IF(G109&lt;=90,1.5%,IF(F109&gt;=15000,1.5%,IF(AND(F109&gt;=12000,F109&lt;=14000),0.5%,0%)))),0%)))</x:f>
      </x:c>
      <x:c r="I109" s="585" t="str">
        <x:f>IF(OR(F109="",H109=""),"",ROUND(F109*H109,2))</x:f>
      </x:c>
      <x:c r="J109" s="624" t="str">
        <x:f>IF(H109="","",IF(H109=0,"Below target",IF(H109=0.005,"0.5% commission",IF(H109=0.01,"1.0% commission",IF(H109=0.015,"1.5% commission","3.0% commission")))))</x:f>
      </x:c>
    </x:row>
    <x:row r="110" ht="22" customHeight="1">
      <x:c r="A110" s="587"/>
      <x:c r="B110" s="588"/>
      <x:c r="C110" s="588"/>
      <x:c r="D110" s="589"/>
      <x:c r="E110" s="589"/>
      <x:c r="F110" s="590"/>
      <x:c r="G110" s="591" t="str">
        <x:f>IF(OR(D110="",E110=""),"",MAX(0,E110-D110))</x:f>
      </x:c>
      <x:c r="H110" s="592" t="str">
        <x:f>IF(OR(B110="",C110="",F110="",G110=""),"",IF(B110="Istanbul",IF(G110&lt;=60,1%,IF(F110&gt;=15000,3%,IF(F110&gt;=12500,1%,0%))),IF(B110="Morocco",IF(C110="Manager",1.5%,IF(G110&lt;=90,1.5%,IF(F110&gt;=15000,1.5%,IF(AND(F110&gt;=12000,F110&lt;=14000),0.5%,0%)))),0%)))</x:f>
      </x:c>
      <x:c r="I110" s="593" t="str">
        <x:f>IF(OR(F110="",H110=""),"",ROUND(F110*H110,2))</x:f>
      </x:c>
      <x:c r="J110" s="625" t="str">
        <x:f>IF(H110="","",IF(H110=0,"Below target",IF(H110=0.005,"0.5% commission",IF(H110=0.01,"1.0% commission",IF(H110=0.015,"1.5% commission","3.0% commission")))))</x:f>
      </x:c>
    </x:row>
  </x:sheetData>
  <x:mergeCells>
    <x:mergeCell ref="A1:J2"/>
    <x:mergeCell ref="D4:J7"/>
  </x:mergeCells>
  <x:conditionalFormatting sqref="H11:H1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11:I110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{EEF9F496-B37F-B540-F71B-FE1E940CAB56}</x14:id>
        </x:ext>
      </x:extLst>
    </x:cfRule>
  </x:conditionalFormatting>
  <x:dataValidations count="2">
    <x:dataValidation type="list" sqref="B11:B110">
      <x:formula1>"Istanbul,Morocco"</x:formula1>
    </x:dataValidation>
    <x:dataValidation type="list" sqref="C11:C110">
      <x:formula1>"Salesperson,Manager"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EF9F496-B37F-B540-F71B-FE1E940CAB56}">
            <x14:dataBar gradient="1">
              <x14:cfvo type="min"/>
              <x14:cfvo type="max"/>
              <x14:fillColor rgb="FF70AD47"/>
            </x14:dataBar>
          </x14:cfRule>
          <xm:sqref>I11:I110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0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19" hidden="0" customWidth="1"/>
    <x:col min="10" max="10" width="13" hidden="0" customWidth="1"/>
    <x:col min="11" max="11" width="21" hidden="0" customWidth="1"/>
  </x:cols>
  <x:sheetData>
    <x:row r="1" ht="28" customHeight="1">
      <x:c r="A1" s="400" t="str">
        <x:v>QUARTERLY EXTRA COMMISSION CALCULATOR</x:v>
      </x:c>
      <x:c r="B1" s="400"/>
      <x:c r="C1" s="400"/>
      <x:c r="D1" s="400"/>
      <x:c r="E1" s="400"/>
      <x:c r="F1" s="400"/>
      <x:c r="G1" s="400"/>
      <x:c r="H1" s="400"/>
      <x:c r="I1" s="400"/>
      <x:c r="J1" s="400"/>
      <x:c r="K1" s="400"/>
      <x:c r="M1"/>
    </x:row>
    <x:row r="2" ht="28" customHeight="1">
      <x:c r="A2" s="400"/>
      <x:c r="B2" s="400"/>
      <x:c r="C2" s="400"/>
      <x:c r="D2" s="400"/>
      <x:c r="E2" s="400"/>
      <x:c r="F2" s="400"/>
      <x:c r="G2" s="400"/>
      <x:c r="H2" s="400"/>
      <x:c r="I2" s="400"/>
      <x:c r="J2" s="400"/>
      <x:c r="K2" s="400"/>
      <x:c r="M2"/>
    </x:row>
    <x:row r="3">
      <x:c r="A3" s="177"/>
      <x:c r="B3" s="177"/>
      <x:c r="C3" s="177"/>
      <x:c r="D3" s="177"/>
      <x:c r="E3" s="177"/>
      <x:c r="F3" s="177"/>
      <x:c r="G3" s="177"/>
      <x:c r="H3" s="177"/>
      <x:c r="I3" s="177"/>
      <x:c r="J3" s="177"/>
      <x:c r="K3" s="177"/>
    </x:row>
    <x:row r="4">
      <x:c r="A4" s="691" t="str">
        <x:v>KPI</x:v>
      </x:c>
      <x:c r="B4" s="692" t="str">
        <x:v>Value</x:v>
      </x:c>
      <x:c r="C4" s="177"/>
      <x:c r="D4" s="650" t="str">
        <x:v>Quarterly targets are identical for Istanbul and Morocco.
Enter three monthly sales amounts; the sheet calculates the monthly average, target rate and extra commission automatically.</x:v>
      </x:c>
      <x:c r="E4" s="651"/>
      <x:c r="F4" s="651"/>
      <x:c r="G4" s="651"/>
      <x:c r="H4" s="651"/>
      <x:c r="I4" s="651"/>
      <x:c r="J4" s="651"/>
      <x:c r="K4" s="652"/>
    </x:row>
    <x:row r="5">
      <x:c r="A5" s="569" t="str">
        <x:v>Quarter Sales Total</x:v>
      </x:c>
      <x:c r="B5" s="570" t="n">
        <x:f>SUM(H11:H110)</x:f>
        <x:v>53000</x:v>
      </x:c>
      <x:c r="C5" s="177"/>
      <x:c r="D5" s="653"/>
      <x:c r="E5" s="654"/>
      <x:c r="F5" s="654"/>
      <x:c r="G5" s="654"/>
      <x:c r="H5" s="654"/>
      <x:c r="I5" s="654"/>
      <x:c r="J5" s="654"/>
      <x:c r="K5" s="655"/>
    </x:row>
    <x:row r="6">
      <x:c r="A6" s="569" t="str">
        <x:v>Quarterly Extra Commission</x:v>
      </x:c>
      <x:c r="B6" s="570" t="n">
        <x:f>SUM(K11:K110)</x:f>
        <x:v>1060</x:v>
      </x:c>
      <x:c r="C6" s="177"/>
      <x:c r="D6" s="653"/>
      <x:c r="E6" s="654"/>
      <x:c r="F6" s="654"/>
      <x:c r="G6" s="654"/>
      <x:c r="H6" s="654"/>
      <x:c r="I6" s="654"/>
      <x:c r="J6" s="654"/>
      <x:c r="K6" s="655"/>
    </x:row>
    <x:row r="7">
      <x:c r="A7" s="571" t="str">
        <x:v>Average Extra Rate</x:v>
      </x:c>
      <x:c r="B7" s="572" t="n">
        <x:f>IFERROR(AVERAGEIF(J11:J110,"&gt;0",J11:J110),0)</x:f>
        <x:v>0.02</x:v>
      </x:c>
      <x:c r="C7" s="177"/>
      <x:c r="D7" s="656"/>
      <x:c r="E7" s="657"/>
      <x:c r="F7" s="657"/>
      <x:c r="G7" s="657"/>
      <x:c r="H7" s="657"/>
      <x:c r="I7" s="657"/>
      <x:c r="J7" s="657"/>
      <x:c r="K7" s="658"/>
    </x:row>
    <x:row r="8">
      <x:c r="A8" s="177"/>
      <x:c r="B8" s="177"/>
      <x:c r="C8" s="177"/>
      <x:c r="D8" s="177"/>
      <x:c r="E8" s="177"/>
      <x:c r="F8" s="177"/>
      <x:c r="G8" s="177"/>
      <x:c r="H8" s="177"/>
      <x:c r="I8" s="177"/>
      <x:c r="J8" s="177"/>
      <x:c r="K8" s="177"/>
    </x:row>
    <x:row r="9">
      <x:c r="A9" s="177"/>
      <x:c r="B9" s="177"/>
      <x:c r="C9" s="177"/>
      <x:c r="D9" s="177"/>
      <x:c r="E9" s="177"/>
      <x:c r="F9" s="177"/>
      <x:c r="G9" s="177"/>
      <x:c r="H9" s="177"/>
      <x:c r="I9" s="177"/>
      <x:c r="J9" s="177"/>
      <x:c r="K9" s="177"/>
    </x:row>
    <x:row r="10" ht="22" customHeight="1">
      <x:c r="A10" s="297" t="str">
        <x:v>Employee</x:v>
      </x:c>
      <x:c r="B10" s="297" t="str">
        <x:v>Region</x:v>
      </x:c>
      <x:c r="C10" s="297" t="str">
        <x:v>Quarter</x:v>
      </x:c>
      <x:c r="D10" s="297" t="str">
        <x:v>Year</x:v>
      </x:c>
      <x:c r="E10" s="297" t="str">
        <x:v>Month 1 Sales (€)</x:v>
      </x:c>
      <x:c r="F10" s="297" t="str">
        <x:v>Month 2 Sales (€)</x:v>
      </x:c>
      <x:c r="G10" s="297" t="str">
        <x:v>Month 3 Sales (€)</x:v>
      </x:c>
      <x:c r="H10" s="297" t="str">
        <x:v>Quarter Total (€)</x:v>
      </x:c>
      <x:c r="I10" s="297" t="str">
        <x:v>Monthly Average (€)</x:v>
      </x:c>
      <x:c r="J10" s="297" t="str">
        <x:v>Extra Rate</x:v>
      </x:c>
      <x:c r="K10" s="297" t="str">
        <x:v>Extra Commission (€)</x:v>
      </x:c>
    </x:row>
    <x:row r="11" ht="22" customHeight="1">
      <x:c r="A11" s="573" t="str">
        <x:v>Example Employee</x:v>
      </x:c>
      <x:c r="B11" s="574" t="str">
        <x:v>Morocco</x:v>
      </x:c>
      <x:c r="C11" s="574" t="str">
        <x:v>Q4</x:v>
      </x:c>
      <x:c r="D11" s="574" t="n">
        <x:v>2026</x:v>
      </x:c>
      <x:c r="E11" s="576" t="n">
        <x:v>15000</x:v>
      </x:c>
      <x:c r="F11" s="576" t="n">
        <x:v>18000</x:v>
      </x:c>
      <x:c r="G11" s="576" t="n">
        <x:v>20000</x:v>
      </x:c>
      <x:c r="H11" s="579" t="n">
        <x:f>IF(COUNTA(E11:G11)=0,"",SUM(E11:G11))</x:f>
        <x:v>53000</x:v>
      </x:c>
      <x:c r="I11" s="579" t="n">
        <x:f>IF(H11="","",H11/3)</x:f>
        <x:v>17666.666666666668</x:v>
      </x:c>
      <x:c r="J11" s="578" t="n">
        <x:f>IF(OR(C11="",I11=""),"",IF(C11="Q4",IF(I11&lt;14000,0,VLOOKUP(I11,'Prim Kuralları'!$F$23:$G$28,2,TRUE)),IF(I11&lt;15000,0,VLOOKUP(I11,'Prim Kuralları'!$F$14:$G$19,2,TRUE))))</x:f>
        <x:v>0.02</x:v>
      </x:c>
      <x:c r="K11" s="693" t="n">
        <x:f>IF(OR(H11="",J11=""),"",ROUND(H11*J11,2))</x:f>
        <x:v>1060</x:v>
      </x:c>
    </x:row>
    <x:row r="12" ht="22" customHeight="1">
      <x:c r="A12" s="581"/>
      <x:c r="B12" s="187"/>
      <x:c r="C12" s="187"/>
      <x:c r="D12" s="187"/>
      <x:c r="E12" s="583"/>
      <x:c r="F12" s="583"/>
      <x:c r="G12" s="583"/>
      <x:c r="H12" s="585" t="str">
        <x:f>IF(COUNTA(E12:G12)=0,"",SUM(E12:G12))</x:f>
      </x:c>
      <x:c r="I12" s="585" t="str">
        <x:f>IF(H12="","",H12/3)</x:f>
      </x:c>
      <x:c r="J12" s="191" t="str">
        <x:f>IF(OR(C12="",I12=""),"",IF(C12="Q5",IF(I12&lt;14000,0,VLOOKUP(I12,'Prim Kuralları'!$F$23:$G$28,2,TRUE)),IF(I12&lt;15000,0,VLOOKUP(I12,'Prim Kuralları'!$F$14:$G$19,2,TRUE))))</x:f>
      </x:c>
      <x:c r="K12" s="694" t="str">
        <x:f>IF(OR(H12="",J12=""),"",ROUND(H12*J12,2))</x:f>
      </x:c>
    </x:row>
    <x:row r="13" ht="22" customHeight="1">
      <x:c r="A13" s="581"/>
      <x:c r="B13" s="187"/>
      <x:c r="C13" s="187"/>
      <x:c r="D13" s="187"/>
      <x:c r="E13" s="583"/>
      <x:c r="F13" s="583"/>
      <x:c r="G13" s="583"/>
      <x:c r="H13" s="585" t="str">
        <x:f>IF(COUNTA(E13:G13)=0,"",SUM(E13:G13))</x:f>
      </x:c>
      <x:c r="I13" s="585" t="str">
        <x:f>IF(H13="","",H13/3)</x:f>
      </x:c>
      <x:c r="J13" s="191" t="str">
        <x:f>IF(OR(C13="",I13=""),"",IF(C13="Q6",IF(I13&lt;14000,0,VLOOKUP(I13,'Prim Kuralları'!$F$23:$G$28,2,TRUE)),IF(I13&lt;15000,0,VLOOKUP(I13,'Prim Kuralları'!$F$14:$G$19,2,TRUE))))</x:f>
      </x:c>
      <x:c r="K13" s="694" t="str">
        <x:f>IF(OR(H13="",J13=""),"",ROUND(H13*J13,2))</x:f>
      </x:c>
    </x:row>
    <x:row r="14" ht="22" customHeight="1">
      <x:c r="A14" s="581"/>
      <x:c r="B14" s="187"/>
      <x:c r="C14" s="187"/>
      <x:c r="D14" s="187"/>
      <x:c r="E14" s="583"/>
      <x:c r="F14" s="583"/>
      <x:c r="G14" s="583"/>
      <x:c r="H14" s="585" t="str">
        <x:f>IF(COUNTA(E14:G14)=0,"",SUM(E14:G14))</x:f>
      </x:c>
      <x:c r="I14" s="585" t="str">
        <x:f>IF(H14="","",H14/3)</x:f>
      </x:c>
      <x:c r="J14" s="191" t="str">
        <x:f>IF(OR(C14="",I14=""),"",IF(C14="Q7",IF(I14&lt;14000,0,VLOOKUP(I14,'Prim Kuralları'!$F$23:$G$28,2,TRUE)),IF(I14&lt;15000,0,VLOOKUP(I14,'Prim Kuralları'!$F$14:$G$19,2,TRUE))))</x:f>
      </x:c>
      <x:c r="K14" s="694" t="str">
        <x:f>IF(OR(H14="",J14=""),"",ROUND(H14*J14,2))</x:f>
      </x:c>
    </x:row>
    <x:row r="15" ht="22" customHeight="1">
      <x:c r="A15" s="581"/>
      <x:c r="B15" s="187"/>
      <x:c r="C15" s="187"/>
      <x:c r="D15" s="187"/>
      <x:c r="E15" s="583"/>
      <x:c r="F15" s="583"/>
      <x:c r="G15" s="583"/>
      <x:c r="H15" s="585" t="str">
        <x:f>IF(COUNTA(E15:G15)=0,"",SUM(E15:G15))</x:f>
      </x:c>
      <x:c r="I15" s="585" t="str">
        <x:f>IF(H15="","",H15/3)</x:f>
      </x:c>
      <x:c r="J15" s="191" t="str">
        <x:f>IF(OR(C15="",I15=""),"",IF(C15="Q8",IF(I15&lt;14000,0,VLOOKUP(I15,'Prim Kuralları'!$F$23:$G$28,2,TRUE)),IF(I15&lt;15000,0,VLOOKUP(I15,'Prim Kuralları'!$F$14:$G$19,2,TRUE))))</x:f>
      </x:c>
      <x:c r="K15" s="694" t="str">
        <x:f>IF(OR(H15="",J15=""),"",ROUND(H15*J15,2))</x:f>
      </x:c>
    </x:row>
    <x:row r="16" ht="22" customHeight="1">
      <x:c r="A16" s="581"/>
      <x:c r="B16" s="187"/>
      <x:c r="C16" s="187"/>
      <x:c r="D16" s="187"/>
      <x:c r="E16" s="583"/>
      <x:c r="F16" s="583"/>
      <x:c r="G16" s="583"/>
      <x:c r="H16" s="585" t="str">
        <x:f>IF(COUNTA(E16:G16)=0,"",SUM(E16:G16))</x:f>
      </x:c>
      <x:c r="I16" s="585" t="str">
        <x:f>IF(H16="","",H16/3)</x:f>
      </x:c>
      <x:c r="J16" s="191" t="str">
        <x:f>IF(OR(C16="",I16=""),"",IF(C16="Q9",IF(I16&lt;14000,0,VLOOKUP(I16,'Prim Kuralları'!$F$23:$G$28,2,TRUE)),IF(I16&lt;15000,0,VLOOKUP(I16,'Prim Kuralları'!$F$14:$G$19,2,TRUE))))</x:f>
      </x:c>
      <x:c r="K16" s="694" t="str">
        <x:f>IF(OR(H16="",J16=""),"",ROUND(H16*J16,2))</x:f>
      </x:c>
    </x:row>
    <x:row r="17" ht="22" customHeight="1">
      <x:c r="A17" s="581"/>
      <x:c r="B17" s="187"/>
      <x:c r="C17" s="187"/>
      <x:c r="D17" s="187"/>
      <x:c r="E17" s="583"/>
      <x:c r="F17" s="583"/>
      <x:c r="G17" s="583"/>
      <x:c r="H17" s="585" t="str">
        <x:f>IF(COUNTA(E17:G17)=0,"",SUM(E17:G17))</x:f>
      </x:c>
      <x:c r="I17" s="585" t="str">
        <x:f>IF(H17="","",H17/3)</x:f>
      </x:c>
      <x:c r="J17" s="191" t="str">
        <x:f>IF(OR(C17="",I17=""),"",IF(C17="Q10",IF(I17&lt;14000,0,VLOOKUP(I17,'Prim Kuralları'!$F$23:$G$28,2,TRUE)),IF(I17&lt;15000,0,VLOOKUP(I17,'Prim Kuralları'!$F$14:$G$19,2,TRUE))))</x:f>
      </x:c>
      <x:c r="K17" s="694" t="str">
        <x:f>IF(OR(H17="",J17=""),"",ROUND(H17*J17,2))</x:f>
      </x:c>
    </x:row>
    <x:row r="18" ht="22" customHeight="1">
      <x:c r="A18" s="581"/>
      <x:c r="B18" s="187"/>
      <x:c r="C18" s="187"/>
      <x:c r="D18" s="187"/>
      <x:c r="E18" s="583"/>
      <x:c r="F18" s="583"/>
      <x:c r="G18" s="583"/>
      <x:c r="H18" s="585" t="str">
        <x:f>IF(COUNTA(E18:G18)=0,"",SUM(E18:G18))</x:f>
      </x:c>
      <x:c r="I18" s="585" t="str">
        <x:f>IF(H18="","",H18/3)</x:f>
      </x:c>
      <x:c r="J18" s="191" t="str">
        <x:f>IF(OR(C18="",I18=""),"",IF(C18="Q11",IF(I18&lt;14000,0,VLOOKUP(I18,'Prim Kuralları'!$F$23:$G$28,2,TRUE)),IF(I18&lt;15000,0,VLOOKUP(I18,'Prim Kuralları'!$F$14:$G$19,2,TRUE))))</x:f>
      </x:c>
      <x:c r="K18" s="694" t="str">
        <x:f>IF(OR(H18="",J18=""),"",ROUND(H18*J18,2))</x:f>
      </x:c>
    </x:row>
    <x:row r="19" ht="22" customHeight="1">
      <x:c r="A19" s="581"/>
      <x:c r="B19" s="187"/>
      <x:c r="C19" s="187"/>
      <x:c r="D19" s="187"/>
      <x:c r="E19" s="583"/>
      <x:c r="F19" s="583"/>
      <x:c r="G19" s="583"/>
      <x:c r="H19" s="585" t="str">
        <x:f>IF(COUNTA(E19:G19)=0,"",SUM(E19:G19))</x:f>
      </x:c>
      <x:c r="I19" s="585" t="str">
        <x:f>IF(H19="","",H19/3)</x:f>
      </x:c>
      <x:c r="J19" s="191" t="str">
        <x:f>IF(OR(C19="",I19=""),"",IF(C19="Q12",IF(I19&lt;14000,0,VLOOKUP(I19,'Prim Kuralları'!$F$23:$G$28,2,TRUE)),IF(I19&lt;15000,0,VLOOKUP(I19,'Prim Kuralları'!$F$14:$G$19,2,TRUE))))</x:f>
      </x:c>
      <x:c r="K19" s="694" t="str">
        <x:f>IF(OR(H19="",J19=""),"",ROUND(H19*J19,2))</x:f>
      </x:c>
    </x:row>
    <x:row r="20" ht="22" customHeight="1">
      <x:c r="A20" s="581"/>
      <x:c r="B20" s="187"/>
      <x:c r="C20" s="187"/>
      <x:c r="D20" s="187"/>
      <x:c r="E20" s="583"/>
      <x:c r="F20" s="583"/>
      <x:c r="G20" s="583"/>
      <x:c r="H20" s="585" t="str">
        <x:f>IF(COUNTA(E20:G20)=0,"",SUM(E20:G20))</x:f>
      </x:c>
      <x:c r="I20" s="585" t="str">
        <x:f>IF(H20="","",H20/3)</x:f>
      </x:c>
      <x:c r="J20" s="191" t="str">
        <x:f>IF(OR(C20="",I20=""),"",IF(C20="Q13",IF(I20&lt;14000,0,VLOOKUP(I20,'Prim Kuralları'!$F$23:$G$28,2,TRUE)),IF(I20&lt;15000,0,VLOOKUP(I20,'Prim Kuralları'!$F$14:$G$19,2,TRUE))))</x:f>
      </x:c>
      <x:c r="K20" s="694" t="str">
        <x:f>IF(OR(H20="",J20=""),"",ROUND(H20*J20,2))</x:f>
      </x:c>
    </x:row>
    <x:row r="21" ht="22" customHeight="1">
      <x:c r="A21" s="581"/>
      <x:c r="B21" s="187"/>
      <x:c r="C21" s="187"/>
      <x:c r="D21" s="187"/>
      <x:c r="E21" s="583"/>
      <x:c r="F21" s="583"/>
      <x:c r="G21" s="583"/>
      <x:c r="H21" s="585" t="str">
        <x:f>IF(COUNTA(E21:G21)=0,"",SUM(E21:G21))</x:f>
      </x:c>
      <x:c r="I21" s="585" t="str">
        <x:f>IF(H21="","",H21/3)</x:f>
      </x:c>
      <x:c r="J21" s="191" t="str">
        <x:f>IF(OR(C21="",I21=""),"",IF(C21="Q14",IF(I21&lt;14000,0,VLOOKUP(I21,'Prim Kuralları'!$F$23:$G$28,2,TRUE)),IF(I21&lt;15000,0,VLOOKUP(I21,'Prim Kuralları'!$F$14:$G$19,2,TRUE))))</x:f>
      </x:c>
      <x:c r="K21" s="694" t="str">
        <x:f>IF(OR(H21="",J21=""),"",ROUND(H21*J21,2))</x:f>
      </x:c>
    </x:row>
    <x:row r="22" ht="22" customHeight="1">
      <x:c r="A22" s="581"/>
      <x:c r="B22" s="187"/>
      <x:c r="C22" s="187"/>
      <x:c r="D22" s="187"/>
      <x:c r="E22" s="583"/>
      <x:c r="F22" s="583"/>
      <x:c r="G22" s="583"/>
      <x:c r="H22" s="585" t="str">
        <x:f>IF(COUNTA(E22:G22)=0,"",SUM(E22:G22))</x:f>
      </x:c>
      <x:c r="I22" s="585" t="str">
        <x:f>IF(H22="","",H22/3)</x:f>
      </x:c>
      <x:c r="J22" s="191" t="str">
        <x:f>IF(OR(C22="",I22=""),"",IF(C22="Q15",IF(I22&lt;14000,0,VLOOKUP(I22,'Prim Kuralları'!$F$23:$G$28,2,TRUE)),IF(I22&lt;15000,0,VLOOKUP(I22,'Prim Kuralları'!$F$14:$G$19,2,TRUE))))</x:f>
      </x:c>
      <x:c r="K22" s="694" t="str">
        <x:f>IF(OR(H22="",J22=""),"",ROUND(H22*J22,2))</x:f>
      </x:c>
    </x:row>
    <x:row r="23" ht="22" customHeight="1">
      <x:c r="A23" s="581"/>
      <x:c r="B23" s="187"/>
      <x:c r="C23" s="187"/>
      <x:c r="D23" s="187"/>
      <x:c r="E23" s="583"/>
      <x:c r="F23" s="583"/>
      <x:c r="G23" s="583"/>
      <x:c r="H23" s="585" t="str">
        <x:f>IF(COUNTA(E23:G23)=0,"",SUM(E23:G23))</x:f>
      </x:c>
      <x:c r="I23" s="585" t="str">
        <x:f>IF(H23="","",H23/3)</x:f>
      </x:c>
      <x:c r="J23" s="191" t="str">
        <x:f>IF(OR(C23="",I23=""),"",IF(C23="Q16",IF(I23&lt;14000,0,VLOOKUP(I23,'Prim Kuralları'!$F$23:$G$28,2,TRUE)),IF(I23&lt;15000,0,VLOOKUP(I23,'Prim Kuralları'!$F$14:$G$19,2,TRUE))))</x:f>
      </x:c>
      <x:c r="K23" s="694" t="str">
        <x:f>IF(OR(H23="",J23=""),"",ROUND(H23*J23,2))</x:f>
      </x:c>
    </x:row>
    <x:row r="24" ht="22" customHeight="1">
      <x:c r="A24" s="581"/>
      <x:c r="B24" s="187"/>
      <x:c r="C24" s="187"/>
      <x:c r="D24" s="187"/>
      <x:c r="E24" s="583"/>
      <x:c r="F24" s="583"/>
      <x:c r="G24" s="583"/>
      <x:c r="H24" s="585" t="str">
        <x:f>IF(COUNTA(E24:G24)=0,"",SUM(E24:G24))</x:f>
      </x:c>
      <x:c r="I24" s="585" t="str">
        <x:f>IF(H24="","",H24/3)</x:f>
      </x:c>
      <x:c r="J24" s="191" t="str">
        <x:f>IF(OR(C24="",I24=""),"",IF(C24="Q17",IF(I24&lt;14000,0,VLOOKUP(I24,'Prim Kuralları'!$F$23:$G$28,2,TRUE)),IF(I24&lt;15000,0,VLOOKUP(I24,'Prim Kuralları'!$F$14:$G$19,2,TRUE))))</x:f>
      </x:c>
      <x:c r="K24" s="694" t="str">
        <x:f>IF(OR(H24="",J24=""),"",ROUND(H24*J24,2))</x:f>
      </x:c>
    </x:row>
    <x:row r="25" ht="22" customHeight="1">
      <x:c r="A25" s="581"/>
      <x:c r="B25" s="187"/>
      <x:c r="C25" s="187"/>
      <x:c r="D25" s="187"/>
      <x:c r="E25" s="583"/>
      <x:c r="F25" s="583"/>
      <x:c r="G25" s="583"/>
      <x:c r="H25" s="585" t="str">
        <x:f>IF(COUNTA(E25:G25)=0,"",SUM(E25:G25))</x:f>
      </x:c>
      <x:c r="I25" s="585" t="str">
        <x:f>IF(H25="","",H25/3)</x:f>
      </x:c>
      <x:c r="J25" s="191" t="str">
        <x:f>IF(OR(C25="",I25=""),"",IF(C25="Q18",IF(I25&lt;14000,0,VLOOKUP(I25,'Prim Kuralları'!$F$23:$G$28,2,TRUE)),IF(I25&lt;15000,0,VLOOKUP(I25,'Prim Kuralları'!$F$14:$G$19,2,TRUE))))</x:f>
      </x:c>
      <x:c r="K25" s="694" t="str">
        <x:f>IF(OR(H25="",J25=""),"",ROUND(H25*J25,2))</x:f>
      </x:c>
    </x:row>
    <x:row r="26" ht="22" customHeight="1">
      <x:c r="A26" s="581"/>
      <x:c r="B26" s="187"/>
      <x:c r="C26" s="187"/>
      <x:c r="D26" s="187"/>
      <x:c r="E26" s="583"/>
      <x:c r="F26" s="583"/>
      <x:c r="G26" s="583"/>
      <x:c r="H26" s="585" t="str">
        <x:f>IF(COUNTA(E26:G26)=0,"",SUM(E26:G26))</x:f>
      </x:c>
      <x:c r="I26" s="585" t="str">
        <x:f>IF(H26="","",H26/3)</x:f>
      </x:c>
      <x:c r="J26" s="191" t="str">
        <x:f>IF(OR(C26="",I26=""),"",IF(C26="Q19",IF(I26&lt;14000,0,VLOOKUP(I26,'Prim Kuralları'!$F$23:$G$28,2,TRUE)),IF(I26&lt;15000,0,VLOOKUP(I26,'Prim Kuralları'!$F$14:$G$19,2,TRUE))))</x:f>
      </x:c>
      <x:c r="K26" s="694" t="str">
        <x:f>IF(OR(H26="",J26=""),"",ROUND(H26*J26,2))</x:f>
      </x:c>
    </x:row>
    <x:row r="27" ht="22" customHeight="1">
      <x:c r="A27" s="581"/>
      <x:c r="B27" s="187"/>
      <x:c r="C27" s="187"/>
      <x:c r="D27" s="187"/>
      <x:c r="E27" s="583"/>
      <x:c r="F27" s="583"/>
      <x:c r="G27" s="583"/>
      <x:c r="H27" s="585" t="str">
        <x:f>IF(COUNTA(E27:G27)=0,"",SUM(E27:G27))</x:f>
      </x:c>
      <x:c r="I27" s="585" t="str">
        <x:f>IF(H27="","",H27/3)</x:f>
      </x:c>
      <x:c r="J27" s="191" t="str">
        <x:f>IF(OR(C27="",I27=""),"",IF(C27="Q20",IF(I27&lt;14000,0,VLOOKUP(I27,'Prim Kuralları'!$F$23:$G$28,2,TRUE)),IF(I27&lt;15000,0,VLOOKUP(I27,'Prim Kuralları'!$F$14:$G$19,2,TRUE))))</x:f>
      </x:c>
      <x:c r="K27" s="694" t="str">
        <x:f>IF(OR(H27="",J27=""),"",ROUND(H27*J27,2))</x:f>
      </x:c>
    </x:row>
    <x:row r="28" ht="22" customHeight="1">
      <x:c r="A28" s="581"/>
      <x:c r="B28" s="187"/>
      <x:c r="C28" s="187"/>
      <x:c r="D28" s="187"/>
      <x:c r="E28" s="583"/>
      <x:c r="F28" s="583"/>
      <x:c r="G28" s="583"/>
      <x:c r="H28" s="585" t="str">
        <x:f>IF(COUNTA(E28:G28)=0,"",SUM(E28:G28))</x:f>
      </x:c>
      <x:c r="I28" s="585" t="str">
        <x:f>IF(H28="","",H28/3)</x:f>
      </x:c>
      <x:c r="J28" s="191" t="str">
        <x:f>IF(OR(C28="",I28=""),"",IF(C28="Q21",IF(I28&lt;14000,0,VLOOKUP(I28,'Prim Kuralları'!$F$23:$G$28,2,TRUE)),IF(I28&lt;15000,0,VLOOKUP(I28,'Prim Kuralları'!$F$14:$G$19,2,TRUE))))</x:f>
      </x:c>
      <x:c r="K28" s="694" t="str">
        <x:f>IF(OR(H28="",J28=""),"",ROUND(H28*J28,2))</x:f>
      </x:c>
    </x:row>
    <x:row r="29" ht="22" customHeight="1">
      <x:c r="A29" s="581"/>
      <x:c r="B29" s="187"/>
      <x:c r="C29" s="187"/>
      <x:c r="D29" s="187"/>
      <x:c r="E29" s="583"/>
      <x:c r="F29" s="583"/>
      <x:c r="G29" s="583"/>
      <x:c r="H29" s="585" t="str">
        <x:f>IF(COUNTA(E29:G29)=0,"",SUM(E29:G29))</x:f>
      </x:c>
      <x:c r="I29" s="585" t="str">
        <x:f>IF(H29="","",H29/3)</x:f>
      </x:c>
      <x:c r="J29" s="191" t="str">
        <x:f>IF(OR(C29="",I29=""),"",IF(C29="Q22",IF(I29&lt;14000,0,VLOOKUP(I29,'Prim Kuralları'!$F$23:$G$28,2,TRUE)),IF(I29&lt;15000,0,VLOOKUP(I29,'Prim Kuralları'!$F$14:$G$19,2,TRUE))))</x:f>
      </x:c>
      <x:c r="K29" s="694" t="str">
        <x:f>IF(OR(H29="",J29=""),"",ROUND(H29*J29,2))</x:f>
      </x:c>
    </x:row>
    <x:row r="30" ht="22" customHeight="1">
      <x:c r="A30" s="581"/>
      <x:c r="B30" s="187"/>
      <x:c r="C30" s="187"/>
      <x:c r="D30" s="187"/>
      <x:c r="E30" s="583"/>
      <x:c r="F30" s="583"/>
      <x:c r="G30" s="583"/>
      <x:c r="H30" s="585" t="str">
        <x:f>IF(COUNTA(E30:G30)=0,"",SUM(E30:G30))</x:f>
      </x:c>
      <x:c r="I30" s="585" t="str">
        <x:f>IF(H30="","",H30/3)</x:f>
      </x:c>
      <x:c r="J30" s="191" t="str">
        <x:f>IF(OR(C30="",I30=""),"",IF(C30="Q23",IF(I30&lt;14000,0,VLOOKUP(I30,'Prim Kuralları'!$F$23:$G$28,2,TRUE)),IF(I30&lt;15000,0,VLOOKUP(I30,'Prim Kuralları'!$F$14:$G$19,2,TRUE))))</x:f>
      </x:c>
      <x:c r="K30" s="694" t="str">
        <x:f>IF(OR(H30="",J30=""),"",ROUND(H30*J30,2))</x:f>
      </x:c>
    </x:row>
    <x:row r="31" ht="22" customHeight="1">
      <x:c r="A31" s="581"/>
      <x:c r="B31" s="187"/>
      <x:c r="C31" s="187"/>
      <x:c r="D31" s="187"/>
      <x:c r="E31" s="583"/>
      <x:c r="F31" s="583"/>
      <x:c r="G31" s="583"/>
      <x:c r="H31" s="585" t="str">
        <x:f>IF(COUNTA(E31:G31)=0,"",SUM(E31:G31))</x:f>
      </x:c>
      <x:c r="I31" s="585" t="str">
        <x:f>IF(H31="","",H31/3)</x:f>
      </x:c>
      <x:c r="J31" s="191" t="str">
        <x:f>IF(OR(C31="",I31=""),"",IF(C31="Q24",IF(I31&lt;14000,0,VLOOKUP(I31,'Prim Kuralları'!$F$23:$G$28,2,TRUE)),IF(I31&lt;15000,0,VLOOKUP(I31,'Prim Kuralları'!$F$14:$G$19,2,TRUE))))</x:f>
      </x:c>
      <x:c r="K31" s="694" t="str">
        <x:f>IF(OR(H31="",J31=""),"",ROUND(H31*J31,2))</x:f>
      </x:c>
    </x:row>
    <x:row r="32" ht="22" customHeight="1">
      <x:c r="A32" s="581"/>
      <x:c r="B32" s="187"/>
      <x:c r="C32" s="187"/>
      <x:c r="D32" s="187"/>
      <x:c r="E32" s="583"/>
      <x:c r="F32" s="583"/>
      <x:c r="G32" s="583"/>
      <x:c r="H32" s="585" t="str">
        <x:f>IF(COUNTA(E32:G32)=0,"",SUM(E32:G32))</x:f>
      </x:c>
      <x:c r="I32" s="585" t="str">
        <x:f>IF(H32="","",H32/3)</x:f>
      </x:c>
      <x:c r="J32" s="191" t="str">
        <x:f>IF(OR(C32="",I32=""),"",IF(C32="Q25",IF(I32&lt;14000,0,VLOOKUP(I32,'Prim Kuralları'!$F$23:$G$28,2,TRUE)),IF(I32&lt;15000,0,VLOOKUP(I32,'Prim Kuralları'!$F$14:$G$19,2,TRUE))))</x:f>
      </x:c>
      <x:c r="K32" s="694" t="str">
        <x:f>IF(OR(H32="",J32=""),"",ROUND(H32*J32,2))</x:f>
      </x:c>
    </x:row>
    <x:row r="33" ht="22" customHeight="1">
      <x:c r="A33" s="581"/>
      <x:c r="B33" s="187"/>
      <x:c r="C33" s="187"/>
      <x:c r="D33" s="187"/>
      <x:c r="E33" s="583"/>
      <x:c r="F33" s="583"/>
      <x:c r="G33" s="583"/>
      <x:c r="H33" s="585" t="str">
        <x:f>IF(COUNTA(E33:G33)=0,"",SUM(E33:G33))</x:f>
      </x:c>
      <x:c r="I33" s="585" t="str">
        <x:f>IF(H33="","",H33/3)</x:f>
      </x:c>
      <x:c r="J33" s="191" t="str">
        <x:f>IF(OR(C33="",I33=""),"",IF(C33="Q26",IF(I33&lt;14000,0,VLOOKUP(I33,'Prim Kuralları'!$F$23:$G$28,2,TRUE)),IF(I33&lt;15000,0,VLOOKUP(I33,'Prim Kuralları'!$F$14:$G$19,2,TRUE))))</x:f>
      </x:c>
      <x:c r="K33" s="694" t="str">
        <x:f>IF(OR(H33="",J33=""),"",ROUND(H33*J33,2))</x:f>
      </x:c>
    </x:row>
    <x:row r="34" ht="22" customHeight="1">
      <x:c r="A34" s="581"/>
      <x:c r="B34" s="187"/>
      <x:c r="C34" s="187"/>
      <x:c r="D34" s="187"/>
      <x:c r="E34" s="583"/>
      <x:c r="F34" s="583"/>
      <x:c r="G34" s="583"/>
      <x:c r="H34" s="585" t="str">
        <x:f>IF(COUNTA(E34:G34)=0,"",SUM(E34:G34))</x:f>
      </x:c>
      <x:c r="I34" s="585" t="str">
        <x:f>IF(H34="","",H34/3)</x:f>
      </x:c>
      <x:c r="J34" s="191" t="str">
        <x:f>IF(OR(C34="",I34=""),"",IF(C34="Q27",IF(I34&lt;14000,0,VLOOKUP(I34,'Prim Kuralları'!$F$23:$G$28,2,TRUE)),IF(I34&lt;15000,0,VLOOKUP(I34,'Prim Kuralları'!$F$14:$G$19,2,TRUE))))</x:f>
      </x:c>
      <x:c r="K34" s="694" t="str">
        <x:f>IF(OR(H34="",J34=""),"",ROUND(H34*J34,2))</x:f>
      </x:c>
    </x:row>
    <x:row r="35" ht="22" customHeight="1">
      <x:c r="A35" s="581"/>
      <x:c r="B35" s="187"/>
      <x:c r="C35" s="187"/>
      <x:c r="D35" s="187"/>
      <x:c r="E35" s="583"/>
      <x:c r="F35" s="583"/>
      <x:c r="G35" s="583"/>
      <x:c r="H35" s="585" t="str">
        <x:f>IF(COUNTA(E35:G35)=0,"",SUM(E35:G35))</x:f>
      </x:c>
      <x:c r="I35" s="585" t="str">
        <x:f>IF(H35="","",H35/3)</x:f>
      </x:c>
      <x:c r="J35" s="191" t="str">
        <x:f>IF(OR(C35="",I35=""),"",IF(C35="Q28",IF(I35&lt;14000,0,VLOOKUP(I35,'Prim Kuralları'!$F$23:$G$28,2,TRUE)),IF(I35&lt;15000,0,VLOOKUP(I35,'Prim Kuralları'!$F$14:$G$19,2,TRUE))))</x:f>
      </x:c>
      <x:c r="K35" s="694" t="str">
        <x:f>IF(OR(H35="",J35=""),"",ROUND(H35*J35,2))</x:f>
      </x:c>
    </x:row>
    <x:row r="36" ht="22" customHeight="1">
      <x:c r="A36" s="581"/>
      <x:c r="B36" s="187"/>
      <x:c r="C36" s="187"/>
      <x:c r="D36" s="187"/>
      <x:c r="E36" s="583"/>
      <x:c r="F36" s="583"/>
      <x:c r="G36" s="583"/>
      <x:c r="H36" s="585" t="str">
        <x:f>IF(COUNTA(E36:G36)=0,"",SUM(E36:G36))</x:f>
      </x:c>
      <x:c r="I36" s="585" t="str">
        <x:f>IF(H36="","",H36/3)</x:f>
      </x:c>
      <x:c r="J36" s="191" t="str">
        <x:f>IF(OR(C36="",I36=""),"",IF(C36="Q29",IF(I36&lt;14000,0,VLOOKUP(I36,'Prim Kuralları'!$F$23:$G$28,2,TRUE)),IF(I36&lt;15000,0,VLOOKUP(I36,'Prim Kuralları'!$F$14:$G$19,2,TRUE))))</x:f>
      </x:c>
      <x:c r="K36" s="694" t="str">
        <x:f>IF(OR(H36="",J36=""),"",ROUND(H36*J36,2))</x:f>
      </x:c>
    </x:row>
    <x:row r="37" ht="22" customHeight="1">
      <x:c r="A37" s="581"/>
      <x:c r="B37" s="187"/>
      <x:c r="C37" s="187"/>
      <x:c r="D37" s="187"/>
      <x:c r="E37" s="583"/>
      <x:c r="F37" s="583"/>
      <x:c r="G37" s="583"/>
      <x:c r="H37" s="585" t="str">
        <x:f>IF(COUNTA(E37:G37)=0,"",SUM(E37:G37))</x:f>
      </x:c>
      <x:c r="I37" s="585" t="str">
        <x:f>IF(H37="","",H37/3)</x:f>
      </x:c>
      <x:c r="J37" s="191" t="str">
        <x:f>IF(OR(C37="",I37=""),"",IF(C37="Q30",IF(I37&lt;14000,0,VLOOKUP(I37,'Prim Kuralları'!$F$23:$G$28,2,TRUE)),IF(I37&lt;15000,0,VLOOKUP(I37,'Prim Kuralları'!$F$14:$G$19,2,TRUE))))</x:f>
      </x:c>
      <x:c r="K37" s="694" t="str">
        <x:f>IF(OR(H37="",J37=""),"",ROUND(H37*J37,2))</x:f>
      </x:c>
    </x:row>
    <x:row r="38" ht="22" customHeight="1">
      <x:c r="A38" s="581"/>
      <x:c r="B38" s="187"/>
      <x:c r="C38" s="187"/>
      <x:c r="D38" s="187"/>
      <x:c r="E38" s="583"/>
      <x:c r="F38" s="583"/>
      <x:c r="G38" s="583"/>
      <x:c r="H38" s="585" t="str">
        <x:f>IF(COUNTA(E38:G38)=0,"",SUM(E38:G38))</x:f>
      </x:c>
      <x:c r="I38" s="585" t="str">
        <x:f>IF(H38="","",H38/3)</x:f>
      </x:c>
      <x:c r="J38" s="191" t="str">
        <x:f>IF(OR(C38="",I38=""),"",IF(C38="Q31",IF(I38&lt;14000,0,VLOOKUP(I38,'Prim Kuralları'!$F$23:$G$28,2,TRUE)),IF(I38&lt;15000,0,VLOOKUP(I38,'Prim Kuralları'!$F$14:$G$19,2,TRUE))))</x:f>
      </x:c>
      <x:c r="K38" s="694" t="str">
        <x:f>IF(OR(H38="",J38=""),"",ROUND(H38*J38,2))</x:f>
      </x:c>
    </x:row>
    <x:row r="39" ht="22" customHeight="1">
      <x:c r="A39" s="581"/>
      <x:c r="B39" s="187"/>
      <x:c r="C39" s="187"/>
      <x:c r="D39" s="187"/>
      <x:c r="E39" s="583"/>
      <x:c r="F39" s="583"/>
      <x:c r="G39" s="583"/>
      <x:c r="H39" s="585" t="str">
        <x:f>IF(COUNTA(E39:G39)=0,"",SUM(E39:G39))</x:f>
      </x:c>
      <x:c r="I39" s="585" t="str">
        <x:f>IF(H39="","",H39/3)</x:f>
      </x:c>
      <x:c r="J39" s="191" t="str">
        <x:f>IF(OR(C39="",I39=""),"",IF(C39="Q32",IF(I39&lt;14000,0,VLOOKUP(I39,'Prim Kuralları'!$F$23:$G$28,2,TRUE)),IF(I39&lt;15000,0,VLOOKUP(I39,'Prim Kuralları'!$F$14:$G$19,2,TRUE))))</x:f>
      </x:c>
      <x:c r="K39" s="694" t="str">
        <x:f>IF(OR(H39="",J39=""),"",ROUND(H39*J39,2))</x:f>
      </x:c>
    </x:row>
    <x:row r="40" ht="22" customHeight="1">
      <x:c r="A40" s="581"/>
      <x:c r="B40" s="187"/>
      <x:c r="C40" s="187"/>
      <x:c r="D40" s="187"/>
      <x:c r="E40" s="583"/>
      <x:c r="F40" s="583"/>
      <x:c r="G40" s="583"/>
      <x:c r="H40" s="585" t="str">
        <x:f>IF(COUNTA(E40:G40)=0,"",SUM(E40:G40))</x:f>
      </x:c>
      <x:c r="I40" s="585" t="str">
        <x:f>IF(H40="","",H40/3)</x:f>
      </x:c>
      <x:c r="J40" s="191" t="str">
        <x:f>IF(OR(C40="",I40=""),"",IF(C40="Q33",IF(I40&lt;14000,0,VLOOKUP(I40,'Prim Kuralları'!$F$23:$G$28,2,TRUE)),IF(I40&lt;15000,0,VLOOKUP(I40,'Prim Kuralları'!$F$14:$G$19,2,TRUE))))</x:f>
      </x:c>
      <x:c r="K40" s="694" t="str">
        <x:f>IF(OR(H40="",J40=""),"",ROUND(H40*J40,2))</x:f>
      </x:c>
    </x:row>
    <x:row r="41" ht="22" customHeight="1">
      <x:c r="A41" s="581"/>
      <x:c r="B41" s="187"/>
      <x:c r="C41" s="187"/>
      <x:c r="D41" s="187"/>
      <x:c r="E41" s="583"/>
      <x:c r="F41" s="583"/>
      <x:c r="G41" s="583"/>
      <x:c r="H41" s="585" t="str">
        <x:f>IF(COUNTA(E41:G41)=0,"",SUM(E41:G41))</x:f>
      </x:c>
      <x:c r="I41" s="585" t="str">
        <x:f>IF(H41="","",H41/3)</x:f>
      </x:c>
      <x:c r="J41" s="191" t="str">
        <x:f>IF(OR(C41="",I41=""),"",IF(C41="Q34",IF(I41&lt;14000,0,VLOOKUP(I41,'Prim Kuralları'!$F$23:$G$28,2,TRUE)),IF(I41&lt;15000,0,VLOOKUP(I41,'Prim Kuralları'!$F$14:$G$19,2,TRUE))))</x:f>
      </x:c>
      <x:c r="K41" s="694" t="str">
        <x:f>IF(OR(H41="",J41=""),"",ROUND(H41*J41,2))</x:f>
      </x:c>
    </x:row>
    <x:row r="42" ht="22" customHeight="1">
      <x:c r="A42" s="581"/>
      <x:c r="B42" s="187"/>
      <x:c r="C42" s="187"/>
      <x:c r="D42" s="187"/>
      <x:c r="E42" s="583"/>
      <x:c r="F42" s="583"/>
      <x:c r="G42" s="583"/>
      <x:c r="H42" s="585" t="str">
        <x:f>IF(COUNTA(E42:G42)=0,"",SUM(E42:G42))</x:f>
      </x:c>
      <x:c r="I42" s="585" t="str">
        <x:f>IF(H42="","",H42/3)</x:f>
      </x:c>
      <x:c r="J42" s="191" t="str">
        <x:f>IF(OR(C42="",I42=""),"",IF(C42="Q35",IF(I42&lt;14000,0,VLOOKUP(I42,'Prim Kuralları'!$F$23:$G$28,2,TRUE)),IF(I42&lt;15000,0,VLOOKUP(I42,'Prim Kuralları'!$F$14:$G$19,2,TRUE))))</x:f>
      </x:c>
      <x:c r="K42" s="694" t="str">
        <x:f>IF(OR(H42="",J42=""),"",ROUND(H42*J42,2))</x:f>
      </x:c>
    </x:row>
    <x:row r="43" ht="22" customHeight="1">
      <x:c r="A43" s="581"/>
      <x:c r="B43" s="187"/>
      <x:c r="C43" s="187"/>
      <x:c r="D43" s="187"/>
      <x:c r="E43" s="583"/>
      <x:c r="F43" s="583"/>
      <x:c r="G43" s="583"/>
      <x:c r="H43" s="585" t="str">
        <x:f>IF(COUNTA(E43:G43)=0,"",SUM(E43:G43))</x:f>
      </x:c>
      <x:c r="I43" s="585" t="str">
        <x:f>IF(H43="","",H43/3)</x:f>
      </x:c>
      <x:c r="J43" s="191" t="str">
        <x:f>IF(OR(C43="",I43=""),"",IF(C43="Q36",IF(I43&lt;14000,0,VLOOKUP(I43,'Prim Kuralları'!$F$23:$G$28,2,TRUE)),IF(I43&lt;15000,0,VLOOKUP(I43,'Prim Kuralları'!$F$14:$G$19,2,TRUE))))</x:f>
      </x:c>
      <x:c r="K43" s="694" t="str">
        <x:f>IF(OR(H43="",J43=""),"",ROUND(H43*J43,2))</x:f>
      </x:c>
    </x:row>
    <x:row r="44" ht="22" customHeight="1">
      <x:c r="A44" s="581"/>
      <x:c r="B44" s="187"/>
      <x:c r="C44" s="187"/>
      <x:c r="D44" s="187"/>
      <x:c r="E44" s="583"/>
      <x:c r="F44" s="583"/>
      <x:c r="G44" s="583"/>
      <x:c r="H44" s="585" t="str">
        <x:f>IF(COUNTA(E44:G44)=0,"",SUM(E44:G44))</x:f>
      </x:c>
      <x:c r="I44" s="585" t="str">
        <x:f>IF(H44="","",H44/3)</x:f>
      </x:c>
      <x:c r="J44" s="191" t="str">
        <x:f>IF(OR(C44="",I44=""),"",IF(C44="Q37",IF(I44&lt;14000,0,VLOOKUP(I44,'Prim Kuralları'!$F$23:$G$28,2,TRUE)),IF(I44&lt;15000,0,VLOOKUP(I44,'Prim Kuralları'!$F$14:$G$19,2,TRUE))))</x:f>
      </x:c>
      <x:c r="K44" s="694" t="str">
        <x:f>IF(OR(H44="",J44=""),"",ROUND(H44*J44,2))</x:f>
      </x:c>
    </x:row>
    <x:row r="45" ht="22" customHeight="1">
      <x:c r="A45" s="581"/>
      <x:c r="B45" s="187"/>
      <x:c r="C45" s="187"/>
      <x:c r="D45" s="187"/>
      <x:c r="E45" s="583"/>
      <x:c r="F45" s="583"/>
      <x:c r="G45" s="583"/>
      <x:c r="H45" s="585" t="str">
        <x:f>IF(COUNTA(E45:G45)=0,"",SUM(E45:G45))</x:f>
      </x:c>
      <x:c r="I45" s="585" t="str">
        <x:f>IF(H45="","",H45/3)</x:f>
      </x:c>
      <x:c r="J45" s="191" t="str">
        <x:f>IF(OR(C45="",I45=""),"",IF(C45="Q38",IF(I45&lt;14000,0,VLOOKUP(I45,'Prim Kuralları'!$F$23:$G$28,2,TRUE)),IF(I45&lt;15000,0,VLOOKUP(I45,'Prim Kuralları'!$F$14:$G$19,2,TRUE))))</x:f>
      </x:c>
      <x:c r="K45" s="694" t="str">
        <x:f>IF(OR(H45="",J45=""),"",ROUND(H45*J45,2))</x:f>
      </x:c>
    </x:row>
    <x:row r="46" ht="22" customHeight="1">
      <x:c r="A46" s="581"/>
      <x:c r="B46" s="187"/>
      <x:c r="C46" s="187"/>
      <x:c r="D46" s="187"/>
      <x:c r="E46" s="583"/>
      <x:c r="F46" s="583"/>
      <x:c r="G46" s="583"/>
      <x:c r="H46" s="585" t="str">
        <x:f>IF(COUNTA(E46:G46)=0,"",SUM(E46:G46))</x:f>
      </x:c>
      <x:c r="I46" s="585" t="str">
        <x:f>IF(H46="","",H46/3)</x:f>
      </x:c>
      <x:c r="J46" s="191" t="str">
        <x:f>IF(OR(C46="",I46=""),"",IF(C46="Q39",IF(I46&lt;14000,0,VLOOKUP(I46,'Prim Kuralları'!$F$23:$G$28,2,TRUE)),IF(I46&lt;15000,0,VLOOKUP(I46,'Prim Kuralları'!$F$14:$G$19,2,TRUE))))</x:f>
      </x:c>
      <x:c r="K46" s="694" t="str">
        <x:f>IF(OR(H46="",J46=""),"",ROUND(H46*J46,2))</x:f>
      </x:c>
    </x:row>
    <x:row r="47" ht="22" customHeight="1">
      <x:c r="A47" s="581"/>
      <x:c r="B47" s="187"/>
      <x:c r="C47" s="187"/>
      <x:c r="D47" s="187"/>
      <x:c r="E47" s="583"/>
      <x:c r="F47" s="583"/>
      <x:c r="G47" s="583"/>
      <x:c r="H47" s="585" t="str">
        <x:f>IF(COUNTA(E47:G47)=0,"",SUM(E47:G47))</x:f>
      </x:c>
      <x:c r="I47" s="585" t="str">
        <x:f>IF(H47="","",H47/3)</x:f>
      </x:c>
      <x:c r="J47" s="191" t="str">
        <x:f>IF(OR(C47="",I47=""),"",IF(C47="Q40",IF(I47&lt;14000,0,VLOOKUP(I47,'Prim Kuralları'!$F$23:$G$28,2,TRUE)),IF(I47&lt;15000,0,VLOOKUP(I47,'Prim Kuralları'!$F$14:$G$19,2,TRUE))))</x:f>
      </x:c>
      <x:c r="K47" s="694" t="str">
        <x:f>IF(OR(H47="",J47=""),"",ROUND(H47*J47,2))</x:f>
      </x:c>
    </x:row>
    <x:row r="48" ht="22" customHeight="1">
      <x:c r="A48" s="581"/>
      <x:c r="B48" s="187"/>
      <x:c r="C48" s="187"/>
      <x:c r="D48" s="187"/>
      <x:c r="E48" s="583"/>
      <x:c r="F48" s="583"/>
      <x:c r="G48" s="583"/>
      <x:c r="H48" s="585" t="str">
        <x:f>IF(COUNTA(E48:G48)=0,"",SUM(E48:G48))</x:f>
      </x:c>
      <x:c r="I48" s="585" t="str">
        <x:f>IF(H48="","",H48/3)</x:f>
      </x:c>
      <x:c r="J48" s="191" t="str">
        <x:f>IF(OR(C48="",I48=""),"",IF(C48="Q41",IF(I48&lt;14000,0,VLOOKUP(I48,'Prim Kuralları'!$F$23:$G$28,2,TRUE)),IF(I48&lt;15000,0,VLOOKUP(I48,'Prim Kuralları'!$F$14:$G$19,2,TRUE))))</x:f>
      </x:c>
      <x:c r="K48" s="694" t="str">
        <x:f>IF(OR(H48="",J48=""),"",ROUND(H48*J48,2))</x:f>
      </x:c>
    </x:row>
    <x:row r="49" ht="22" customHeight="1">
      <x:c r="A49" s="581"/>
      <x:c r="B49" s="187"/>
      <x:c r="C49" s="187"/>
      <x:c r="D49" s="187"/>
      <x:c r="E49" s="583"/>
      <x:c r="F49" s="583"/>
      <x:c r="G49" s="583"/>
      <x:c r="H49" s="585" t="str">
        <x:f>IF(COUNTA(E49:G49)=0,"",SUM(E49:G49))</x:f>
      </x:c>
      <x:c r="I49" s="585" t="str">
        <x:f>IF(H49="","",H49/3)</x:f>
      </x:c>
      <x:c r="J49" s="191" t="str">
        <x:f>IF(OR(C49="",I49=""),"",IF(C49="Q42",IF(I49&lt;14000,0,VLOOKUP(I49,'Prim Kuralları'!$F$23:$G$28,2,TRUE)),IF(I49&lt;15000,0,VLOOKUP(I49,'Prim Kuralları'!$F$14:$G$19,2,TRUE))))</x:f>
      </x:c>
      <x:c r="K49" s="694" t="str">
        <x:f>IF(OR(H49="",J49=""),"",ROUND(H49*J49,2))</x:f>
      </x:c>
    </x:row>
    <x:row r="50" ht="22" customHeight="1">
      <x:c r="A50" s="581"/>
      <x:c r="B50" s="187"/>
      <x:c r="C50" s="187"/>
      <x:c r="D50" s="187"/>
      <x:c r="E50" s="583"/>
      <x:c r="F50" s="583"/>
      <x:c r="G50" s="583"/>
      <x:c r="H50" s="585" t="str">
        <x:f>IF(COUNTA(E50:G50)=0,"",SUM(E50:G50))</x:f>
      </x:c>
      <x:c r="I50" s="585" t="str">
        <x:f>IF(H50="","",H50/3)</x:f>
      </x:c>
      <x:c r="J50" s="191" t="str">
        <x:f>IF(OR(C50="",I50=""),"",IF(C50="Q43",IF(I50&lt;14000,0,VLOOKUP(I50,'Prim Kuralları'!$F$23:$G$28,2,TRUE)),IF(I50&lt;15000,0,VLOOKUP(I50,'Prim Kuralları'!$F$14:$G$19,2,TRUE))))</x:f>
      </x:c>
      <x:c r="K50" s="694" t="str">
        <x:f>IF(OR(H50="",J50=""),"",ROUND(H50*J50,2))</x:f>
      </x:c>
    </x:row>
    <x:row r="51" ht="22" customHeight="1">
      <x:c r="A51" s="581"/>
      <x:c r="B51" s="187"/>
      <x:c r="C51" s="187"/>
      <x:c r="D51" s="187"/>
      <x:c r="E51" s="583"/>
      <x:c r="F51" s="583"/>
      <x:c r="G51" s="583"/>
      <x:c r="H51" s="585" t="str">
        <x:f>IF(COUNTA(E51:G51)=0,"",SUM(E51:G51))</x:f>
      </x:c>
      <x:c r="I51" s="585" t="str">
        <x:f>IF(H51="","",H51/3)</x:f>
      </x:c>
      <x:c r="J51" s="191" t="str">
        <x:f>IF(OR(C51="",I51=""),"",IF(C51="Q44",IF(I51&lt;14000,0,VLOOKUP(I51,'Prim Kuralları'!$F$23:$G$28,2,TRUE)),IF(I51&lt;15000,0,VLOOKUP(I51,'Prim Kuralları'!$F$14:$G$19,2,TRUE))))</x:f>
      </x:c>
      <x:c r="K51" s="694" t="str">
        <x:f>IF(OR(H51="",J51=""),"",ROUND(H51*J51,2))</x:f>
      </x:c>
    </x:row>
    <x:row r="52" ht="22" customHeight="1">
      <x:c r="A52" s="581"/>
      <x:c r="B52" s="187"/>
      <x:c r="C52" s="187"/>
      <x:c r="D52" s="187"/>
      <x:c r="E52" s="583"/>
      <x:c r="F52" s="583"/>
      <x:c r="G52" s="583"/>
      <x:c r="H52" s="585" t="str">
        <x:f>IF(COUNTA(E52:G52)=0,"",SUM(E52:G52))</x:f>
      </x:c>
      <x:c r="I52" s="585" t="str">
        <x:f>IF(H52="","",H52/3)</x:f>
      </x:c>
      <x:c r="J52" s="191" t="str">
        <x:f>IF(OR(C52="",I52=""),"",IF(C52="Q45",IF(I52&lt;14000,0,VLOOKUP(I52,'Prim Kuralları'!$F$23:$G$28,2,TRUE)),IF(I52&lt;15000,0,VLOOKUP(I52,'Prim Kuralları'!$F$14:$G$19,2,TRUE))))</x:f>
      </x:c>
      <x:c r="K52" s="694" t="str">
        <x:f>IF(OR(H52="",J52=""),"",ROUND(H52*J52,2))</x:f>
      </x:c>
    </x:row>
    <x:row r="53" ht="22" customHeight="1">
      <x:c r="A53" s="581"/>
      <x:c r="B53" s="187"/>
      <x:c r="C53" s="187"/>
      <x:c r="D53" s="187"/>
      <x:c r="E53" s="583"/>
      <x:c r="F53" s="583"/>
      <x:c r="G53" s="583"/>
      <x:c r="H53" s="585" t="str">
        <x:f>IF(COUNTA(E53:G53)=0,"",SUM(E53:G53))</x:f>
      </x:c>
      <x:c r="I53" s="585" t="str">
        <x:f>IF(H53="","",H53/3)</x:f>
      </x:c>
      <x:c r="J53" s="191" t="str">
        <x:f>IF(OR(C53="",I53=""),"",IF(C53="Q46",IF(I53&lt;14000,0,VLOOKUP(I53,'Prim Kuralları'!$F$23:$G$28,2,TRUE)),IF(I53&lt;15000,0,VLOOKUP(I53,'Prim Kuralları'!$F$14:$G$19,2,TRUE))))</x:f>
      </x:c>
      <x:c r="K53" s="694" t="str">
        <x:f>IF(OR(H53="",J53=""),"",ROUND(H53*J53,2))</x:f>
      </x:c>
    </x:row>
    <x:row r="54" ht="22" customHeight="1">
      <x:c r="A54" s="581"/>
      <x:c r="B54" s="187"/>
      <x:c r="C54" s="187"/>
      <x:c r="D54" s="187"/>
      <x:c r="E54" s="583"/>
      <x:c r="F54" s="583"/>
      <x:c r="G54" s="583"/>
      <x:c r="H54" s="585" t="str">
        <x:f>IF(COUNTA(E54:G54)=0,"",SUM(E54:G54))</x:f>
      </x:c>
      <x:c r="I54" s="585" t="str">
        <x:f>IF(H54="","",H54/3)</x:f>
      </x:c>
      <x:c r="J54" s="191" t="str">
        <x:f>IF(OR(C54="",I54=""),"",IF(C54="Q47",IF(I54&lt;14000,0,VLOOKUP(I54,'Prim Kuralları'!$F$23:$G$28,2,TRUE)),IF(I54&lt;15000,0,VLOOKUP(I54,'Prim Kuralları'!$F$14:$G$19,2,TRUE))))</x:f>
      </x:c>
      <x:c r="K54" s="694" t="str">
        <x:f>IF(OR(H54="",J54=""),"",ROUND(H54*J54,2))</x:f>
      </x:c>
    </x:row>
    <x:row r="55" ht="22" customHeight="1">
      <x:c r="A55" s="581"/>
      <x:c r="B55" s="187"/>
      <x:c r="C55" s="187"/>
      <x:c r="D55" s="187"/>
      <x:c r="E55" s="583"/>
      <x:c r="F55" s="583"/>
      <x:c r="G55" s="583"/>
      <x:c r="H55" s="585" t="str">
        <x:f>IF(COUNTA(E55:G55)=0,"",SUM(E55:G55))</x:f>
      </x:c>
      <x:c r="I55" s="585" t="str">
        <x:f>IF(H55="","",H55/3)</x:f>
      </x:c>
      <x:c r="J55" s="191" t="str">
        <x:f>IF(OR(C55="",I55=""),"",IF(C55="Q48",IF(I55&lt;14000,0,VLOOKUP(I55,'Prim Kuralları'!$F$23:$G$28,2,TRUE)),IF(I55&lt;15000,0,VLOOKUP(I55,'Prim Kuralları'!$F$14:$G$19,2,TRUE))))</x:f>
      </x:c>
      <x:c r="K55" s="694" t="str">
        <x:f>IF(OR(H55="",J55=""),"",ROUND(H55*J55,2))</x:f>
      </x:c>
    </x:row>
    <x:row r="56" ht="22" customHeight="1">
      <x:c r="A56" s="581"/>
      <x:c r="B56" s="187"/>
      <x:c r="C56" s="187"/>
      <x:c r="D56" s="187"/>
      <x:c r="E56" s="583"/>
      <x:c r="F56" s="583"/>
      <x:c r="G56" s="583"/>
      <x:c r="H56" s="585" t="str">
        <x:f>IF(COUNTA(E56:G56)=0,"",SUM(E56:G56))</x:f>
      </x:c>
      <x:c r="I56" s="585" t="str">
        <x:f>IF(H56="","",H56/3)</x:f>
      </x:c>
      <x:c r="J56" s="191" t="str">
        <x:f>IF(OR(C56="",I56=""),"",IF(C56="Q49",IF(I56&lt;14000,0,VLOOKUP(I56,'Prim Kuralları'!$F$23:$G$28,2,TRUE)),IF(I56&lt;15000,0,VLOOKUP(I56,'Prim Kuralları'!$F$14:$G$19,2,TRUE))))</x:f>
      </x:c>
      <x:c r="K56" s="694" t="str">
        <x:f>IF(OR(H56="",J56=""),"",ROUND(H56*J56,2))</x:f>
      </x:c>
    </x:row>
    <x:row r="57" ht="22" customHeight="1">
      <x:c r="A57" s="581"/>
      <x:c r="B57" s="187"/>
      <x:c r="C57" s="187"/>
      <x:c r="D57" s="187"/>
      <x:c r="E57" s="583"/>
      <x:c r="F57" s="583"/>
      <x:c r="G57" s="583"/>
      <x:c r="H57" s="585" t="str">
        <x:f>IF(COUNTA(E57:G57)=0,"",SUM(E57:G57))</x:f>
      </x:c>
      <x:c r="I57" s="585" t="str">
        <x:f>IF(H57="","",H57/3)</x:f>
      </x:c>
      <x:c r="J57" s="191" t="str">
        <x:f>IF(OR(C57="",I57=""),"",IF(C57="Q50",IF(I57&lt;14000,0,VLOOKUP(I57,'Prim Kuralları'!$F$23:$G$28,2,TRUE)),IF(I57&lt;15000,0,VLOOKUP(I57,'Prim Kuralları'!$F$14:$G$19,2,TRUE))))</x:f>
      </x:c>
      <x:c r="K57" s="694" t="str">
        <x:f>IF(OR(H57="",J57=""),"",ROUND(H57*J57,2))</x:f>
      </x:c>
    </x:row>
    <x:row r="58" ht="22" customHeight="1">
      <x:c r="A58" s="581"/>
      <x:c r="B58" s="187"/>
      <x:c r="C58" s="187"/>
      <x:c r="D58" s="187"/>
      <x:c r="E58" s="583"/>
      <x:c r="F58" s="583"/>
      <x:c r="G58" s="583"/>
      <x:c r="H58" s="585" t="str">
        <x:f>IF(COUNTA(E58:G58)=0,"",SUM(E58:G58))</x:f>
      </x:c>
      <x:c r="I58" s="585" t="str">
        <x:f>IF(H58="","",H58/3)</x:f>
      </x:c>
      <x:c r="J58" s="191" t="str">
        <x:f>IF(OR(C58="",I58=""),"",IF(C58="Q51",IF(I58&lt;14000,0,VLOOKUP(I58,'Prim Kuralları'!$F$23:$G$28,2,TRUE)),IF(I58&lt;15000,0,VLOOKUP(I58,'Prim Kuralları'!$F$14:$G$19,2,TRUE))))</x:f>
      </x:c>
      <x:c r="K58" s="694" t="str">
        <x:f>IF(OR(H58="",J58=""),"",ROUND(H58*J58,2))</x:f>
      </x:c>
    </x:row>
    <x:row r="59" ht="22" customHeight="1">
      <x:c r="A59" s="581"/>
      <x:c r="B59" s="187"/>
      <x:c r="C59" s="187"/>
      <x:c r="D59" s="187"/>
      <x:c r="E59" s="583"/>
      <x:c r="F59" s="583"/>
      <x:c r="G59" s="583"/>
      <x:c r="H59" s="585" t="str">
        <x:f>IF(COUNTA(E59:G59)=0,"",SUM(E59:G59))</x:f>
      </x:c>
      <x:c r="I59" s="585" t="str">
        <x:f>IF(H59="","",H59/3)</x:f>
      </x:c>
      <x:c r="J59" s="191" t="str">
        <x:f>IF(OR(C59="",I59=""),"",IF(C59="Q52",IF(I59&lt;14000,0,VLOOKUP(I59,'Prim Kuralları'!$F$23:$G$28,2,TRUE)),IF(I59&lt;15000,0,VLOOKUP(I59,'Prim Kuralları'!$F$14:$G$19,2,TRUE))))</x:f>
      </x:c>
      <x:c r="K59" s="694" t="str">
        <x:f>IF(OR(H59="",J59=""),"",ROUND(H59*J59,2))</x:f>
      </x:c>
    </x:row>
    <x:row r="60" ht="22" customHeight="1">
      <x:c r="A60" s="581"/>
      <x:c r="B60" s="187"/>
      <x:c r="C60" s="187"/>
      <x:c r="D60" s="187"/>
      <x:c r="E60" s="583"/>
      <x:c r="F60" s="583"/>
      <x:c r="G60" s="583"/>
      <x:c r="H60" s="585" t="str">
        <x:f>IF(COUNTA(E60:G60)=0,"",SUM(E60:G60))</x:f>
      </x:c>
      <x:c r="I60" s="585" t="str">
        <x:f>IF(H60="","",H60/3)</x:f>
      </x:c>
      <x:c r="J60" s="191" t="str">
        <x:f>IF(OR(C60="",I60=""),"",IF(C60="Q53",IF(I60&lt;14000,0,VLOOKUP(I60,'Prim Kuralları'!$F$23:$G$28,2,TRUE)),IF(I60&lt;15000,0,VLOOKUP(I60,'Prim Kuralları'!$F$14:$G$19,2,TRUE))))</x:f>
      </x:c>
      <x:c r="K60" s="694" t="str">
        <x:f>IF(OR(H60="",J60=""),"",ROUND(H60*J60,2))</x:f>
      </x:c>
    </x:row>
    <x:row r="61" ht="22" customHeight="1">
      <x:c r="A61" s="581"/>
      <x:c r="B61" s="187"/>
      <x:c r="C61" s="187"/>
      <x:c r="D61" s="187"/>
      <x:c r="E61" s="583"/>
      <x:c r="F61" s="583"/>
      <x:c r="G61" s="583"/>
      <x:c r="H61" s="585" t="str">
        <x:f>IF(COUNTA(E61:G61)=0,"",SUM(E61:G61))</x:f>
      </x:c>
      <x:c r="I61" s="585" t="str">
        <x:f>IF(H61="","",H61/3)</x:f>
      </x:c>
      <x:c r="J61" s="191" t="str">
        <x:f>IF(OR(C61="",I61=""),"",IF(C61="Q54",IF(I61&lt;14000,0,VLOOKUP(I61,'Prim Kuralları'!$F$23:$G$28,2,TRUE)),IF(I61&lt;15000,0,VLOOKUP(I61,'Prim Kuralları'!$F$14:$G$19,2,TRUE))))</x:f>
      </x:c>
      <x:c r="K61" s="694" t="str">
        <x:f>IF(OR(H61="",J61=""),"",ROUND(H61*J61,2))</x:f>
      </x:c>
    </x:row>
    <x:row r="62" ht="22" customHeight="1">
      <x:c r="A62" s="581"/>
      <x:c r="B62" s="187"/>
      <x:c r="C62" s="187"/>
      <x:c r="D62" s="187"/>
      <x:c r="E62" s="583"/>
      <x:c r="F62" s="583"/>
      <x:c r="G62" s="583"/>
      <x:c r="H62" s="585" t="str">
        <x:f>IF(COUNTA(E62:G62)=0,"",SUM(E62:G62))</x:f>
      </x:c>
      <x:c r="I62" s="585" t="str">
        <x:f>IF(H62="","",H62/3)</x:f>
      </x:c>
      <x:c r="J62" s="191" t="str">
        <x:f>IF(OR(C62="",I62=""),"",IF(C62="Q55",IF(I62&lt;14000,0,VLOOKUP(I62,'Prim Kuralları'!$F$23:$G$28,2,TRUE)),IF(I62&lt;15000,0,VLOOKUP(I62,'Prim Kuralları'!$F$14:$G$19,2,TRUE))))</x:f>
      </x:c>
      <x:c r="K62" s="694" t="str">
        <x:f>IF(OR(H62="",J62=""),"",ROUND(H62*J62,2))</x:f>
      </x:c>
    </x:row>
    <x:row r="63" ht="22" customHeight="1">
      <x:c r="A63" s="581"/>
      <x:c r="B63" s="187"/>
      <x:c r="C63" s="187"/>
      <x:c r="D63" s="187"/>
      <x:c r="E63" s="583"/>
      <x:c r="F63" s="583"/>
      <x:c r="G63" s="583"/>
      <x:c r="H63" s="585" t="str">
        <x:f>IF(COUNTA(E63:G63)=0,"",SUM(E63:G63))</x:f>
      </x:c>
      <x:c r="I63" s="585" t="str">
        <x:f>IF(H63="","",H63/3)</x:f>
      </x:c>
      <x:c r="J63" s="191" t="str">
        <x:f>IF(OR(C63="",I63=""),"",IF(C63="Q56",IF(I63&lt;14000,0,VLOOKUP(I63,'Prim Kuralları'!$F$23:$G$28,2,TRUE)),IF(I63&lt;15000,0,VLOOKUP(I63,'Prim Kuralları'!$F$14:$G$19,2,TRUE))))</x:f>
      </x:c>
      <x:c r="K63" s="694" t="str">
        <x:f>IF(OR(H63="",J63=""),"",ROUND(H63*J63,2))</x:f>
      </x:c>
    </x:row>
    <x:row r="64" ht="22" customHeight="1">
      <x:c r="A64" s="581"/>
      <x:c r="B64" s="187"/>
      <x:c r="C64" s="187"/>
      <x:c r="D64" s="187"/>
      <x:c r="E64" s="583"/>
      <x:c r="F64" s="583"/>
      <x:c r="G64" s="583"/>
      <x:c r="H64" s="585" t="str">
        <x:f>IF(COUNTA(E64:G64)=0,"",SUM(E64:G64))</x:f>
      </x:c>
      <x:c r="I64" s="585" t="str">
        <x:f>IF(H64="","",H64/3)</x:f>
      </x:c>
      <x:c r="J64" s="191" t="str">
        <x:f>IF(OR(C64="",I64=""),"",IF(C64="Q57",IF(I64&lt;14000,0,VLOOKUP(I64,'Prim Kuralları'!$F$23:$G$28,2,TRUE)),IF(I64&lt;15000,0,VLOOKUP(I64,'Prim Kuralları'!$F$14:$G$19,2,TRUE))))</x:f>
      </x:c>
      <x:c r="K64" s="694" t="str">
        <x:f>IF(OR(H64="",J64=""),"",ROUND(H64*J64,2))</x:f>
      </x:c>
    </x:row>
    <x:row r="65" ht="22" customHeight="1">
      <x:c r="A65" s="581"/>
      <x:c r="B65" s="187"/>
      <x:c r="C65" s="187"/>
      <x:c r="D65" s="187"/>
      <x:c r="E65" s="583"/>
      <x:c r="F65" s="583"/>
      <x:c r="G65" s="583"/>
      <x:c r="H65" s="585" t="str">
        <x:f>IF(COUNTA(E65:G65)=0,"",SUM(E65:G65))</x:f>
      </x:c>
      <x:c r="I65" s="585" t="str">
        <x:f>IF(H65="","",H65/3)</x:f>
      </x:c>
      <x:c r="J65" s="191" t="str">
        <x:f>IF(OR(C65="",I65=""),"",IF(C65="Q58",IF(I65&lt;14000,0,VLOOKUP(I65,'Prim Kuralları'!$F$23:$G$28,2,TRUE)),IF(I65&lt;15000,0,VLOOKUP(I65,'Prim Kuralları'!$F$14:$G$19,2,TRUE))))</x:f>
      </x:c>
      <x:c r="K65" s="694" t="str">
        <x:f>IF(OR(H65="",J65=""),"",ROUND(H65*J65,2))</x:f>
      </x:c>
    </x:row>
    <x:row r="66" ht="22" customHeight="1">
      <x:c r="A66" s="581"/>
      <x:c r="B66" s="187"/>
      <x:c r="C66" s="187"/>
      <x:c r="D66" s="187"/>
      <x:c r="E66" s="583"/>
      <x:c r="F66" s="583"/>
      <x:c r="G66" s="583"/>
      <x:c r="H66" s="585" t="str">
        <x:f>IF(COUNTA(E66:G66)=0,"",SUM(E66:G66))</x:f>
      </x:c>
      <x:c r="I66" s="585" t="str">
        <x:f>IF(H66="","",H66/3)</x:f>
      </x:c>
      <x:c r="J66" s="191" t="str">
        <x:f>IF(OR(C66="",I66=""),"",IF(C66="Q59",IF(I66&lt;14000,0,VLOOKUP(I66,'Prim Kuralları'!$F$23:$G$28,2,TRUE)),IF(I66&lt;15000,0,VLOOKUP(I66,'Prim Kuralları'!$F$14:$G$19,2,TRUE))))</x:f>
      </x:c>
      <x:c r="K66" s="694" t="str">
        <x:f>IF(OR(H66="",J66=""),"",ROUND(H66*J66,2))</x:f>
      </x:c>
    </x:row>
    <x:row r="67" ht="22" customHeight="1">
      <x:c r="A67" s="581"/>
      <x:c r="B67" s="187"/>
      <x:c r="C67" s="187"/>
      <x:c r="D67" s="187"/>
      <x:c r="E67" s="583"/>
      <x:c r="F67" s="583"/>
      <x:c r="G67" s="583"/>
      <x:c r="H67" s="585" t="str">
        <x:f>IF(COUNTA(E67:G67)=0,"",SUM(E67:G67))</x:f>
      </x:c>
      <x:c r="I67" s="585" t="str">
        <x:f>IF(H67="","",H67/3)</x:f>
      </x:c>
      <x:c r="J67" s="191" t="str">
        <x:f>IF(OR(C67="",I67=""),"",IF(C67="Q60",IF(I67&lt;14000,0,VLOOKUP(I67,'Prim Kuralları'!$F$23:$G$28,2,TRUE)),IF(I67&lt;15000,0,VLOOKUP(I67,'Prim Kuralları'!$F$14:$G$19,2,TRUE))))</x:f>
      </x:c>
      <x:c r="K67" s="694" t="str">
        <x:f>IF(OR(H67="",J67=""),"",ROUND(H67*J67,2))</x:f>
      </x:c>
    </x:row>
    <x:row r="68" ht="22" customHeight="1">
      <x:c r="A68" s="581"/>
      <x:c r="B68" s="187"/>
      <x:c r="C68" s="187"/>
      <x:c r="D68" s="187"/>
      <x:c r="E68" s="583"/>
      <x:c r="F68" s="583"/>
      <x:c r="G68" s="583"/>
      <x:c r="H68" s="585" t="str">
        <x:f>IF(COUNTA(E68:G68)=0,"",SUM(E68:G68))</x:f>
      </x:c>
      <x:c r="I68" s="585" t="str">
        <x:f>IF(H68="","",H68/3)</x:f>
      </x:c>
      <x:c r="J68" s="191" t="str">
        <x:f>IF(OR(C68="",I68=""),"",IF(C68="Q61",IF(I68&lt;14000,0,VLOOKUP(I68,'Prim Kuralları'!$F$23:$G$28,2,TRUE)),IF(I68&lt;15000,0,VLOOKUP(I68,'Prim Kuralları'!$F$14:$G$19,2,TRUE))))</x:f>
      </x:c>
      <x:c r="K68" s="694" t="str">
        <x:f>IF(OR(H68="",J68=""),"",ROUND(H68*J68,2))</x:f>
      </x:c>
    </x:row>
    <x:row r="69" ht="22" customHeight="1">
      <x:c r="A69" s="581"/>
      <x:c r="B69" s="187"/>
      <x:c r="C69" s="187"/>
      <x:c r="D69" s="187"/>
      <x:c r="E69" s="583"/>
      <x:c r="F69" s="583"/>
      <x:c r="G69" s="583"/>
      <x:c r="H69" s="585" t="str">
        <x:f>IF(COUNTA(E69:G69)=0,"",SUM(E69:G69))</x:f>
      </x:c>
      <x:c r="I69" s="585" t="str">
        <x:f>IF(H69="","",H69/3)</x:f>
      </x:c>
      <x:c r="J69" s="191" t="str">
        <x:f>IF(OR(C69="",I69=""),"",IF(C69="Q62",IF(I69&lt;14000,0,VLOOKUP(I69,'Prim Kuralları'!$F$23:$G$28,2,TRUE)),IF(I69&lt;15000,0,VLOOKUP(I69,'Prim Kuralları'!$F$14:$G$19,2,TRUE))))</x:f>
      </x:c>
      <x:c r="K69" s="694" t="str">
        <x:f>IF(OR(H69="",J69=""),"",ROUND(H69*J69,2))</x:f>
      </x:c>
    </x:row>
    <x:row r="70" ht="22" customHeight="1">
      <x:c r="A70" s="581"/>
      <x:c r="B70" s="187"/>
      <x:c r="C70" s="187"/>
      <x:c r="D70" s="187"/>
      <x:c r="E70" s="583"/>
      <x:c r="F70" s="583"/>
      <x:c r="G70" s="583"/>
      <x:c r="H70" s="585" t="str">
        <x:f>IF(COUNTA(E70:G70)=0,"",SUM(E70:G70))</x:f>
      </x:c>
      <x:c r="I70" s="585" t="str">
        <x:f>IF(H70="","",H70/3)</x:f>
      </x:c>
      <x:c r="J70" s="191" t="str">
        <x:f>IF(OR(C70="",I70=""),"",IF(C70="Q63",IF(I70&lt;14000,0,VLOOKUP(I70,'Prim Kuralları'!$F$23:$G$28,2,TRUE)),IF(I70&lt;15000,0,VLOOKUP(I70,'Prim Kuralları'!$F$14:$G$19,2,TRUE))))</x:f>
      </x:c>
      <x:c r="K70" s="694" t="str">
        <x:f>IF(OR(H70="",J70=""),"",ROUND(H70*J70,2))</x:f>
      </x:c>
    </x:row>
    <x:row r="71" ht="22" customHeight="1">
      <x:c r="A71" s="581"/>
      <x:c r="B71" s="187"/>
      <x:c r="C71" s="187"/>
      <x:c r="D71" s="187"/>
      <x:c r="E71" s="583"/>
      <x:c r="F71" s="583"/>
      <x:c r="G71" s="583"/>
      <x:c r="H71" s="585" t="str">
        <x:f>IF(COUNTA(E71:G71)=0,"",SUM(E71:G71))</x:f>
      </x:c>
      <x:c r="I71" s="585" t="str">
        <x:f>IF(H71="","",H71/3)</x:f>
      </x:c>
      <x:c r="J71" s="191" t="str">
        <x:f>IF(OR(C71="",I71=""),"",IF(C71="Q64",IF(I71&lt;14000,0,VLOOKUP(I71,'Prim Kuralları'!$F$23:$G$28,2,TRUE)),IF(I71&lt;15000,0,VLOOKUP(I71,'Prim Kuralları'!$F$14:$G$19,2,TRUE))))</x:f>
      </x:c>
      <x:c r="K71" s="694" t="str">
        <x:f>IF(OR(H71="",J71=""),"",ROUND(H71*J71,2))</x:f>
      </x:c>
    </x:row>
    <x:row r="72" ht="22" customHeight="1">
      <x:c r="A72" s="581"/>
      <x:c r="B72" s="187"/>
      <x:c r="C72" s="187"/>
      <x:c r="D72" s="187"/>
      <x:c r="E72" s="583"/>
      <x:c r="F72" s="583"/>
      <x:c r="G72" s="583"/>
      <x:c r="H72" s="585" t="str">
        <x:f>IF(COUNTA(E72:G72)=0,"",SUM(E72:G72))</x:f>
      </x:c>
      <x:c r="I72" s="585" t="str">
        <x:f>IF(H72="","",H72/3)</x:f>
      </x:c>
      <x:c r="J72" s="191" t="str">
        <x:f>IF(OR(C72="",I72=""),"",IF(C72="Q65",IF(I72&lt;14000,0,VLOOKUP(I72,'Prim Kuralları'!$F$23:$G$28,2,TRUE)),IF(I72&lt;15000,0,VLOOKUP(I72,'Prim Kuralları'!$F$14:$G$19,2,TRUE))))</x:f>
      </x:c>
      <x:c r="K72" s="694" t="str">
        <x:f>IF(OR(H72="",J72=""),"",ROUND(H72*J72,2))</x:f>
      </x:c>
    </x:row>
    <x:row r="73" ht="22" customHeight="1">
      <x:c r="A73" s="581"/>
      <x:c r="B73" s="187"/>
      <x:c r="C73" s="187"/>
      <x:c r="D73" s="187"/>
      <x:c r="E73" s="583"/>
      <x:c r="F73" s="583"/>
      <x:c r="G73" s="583"/>
      <x:c r="H73" s="585" t="str">
        <x:f>IF(COUNTA(E73:G73)=0,"",SUM(E73:G73))</x:f>
      </x:c>
      <x:c r="I73" s="585" t="str">
        <x:f>IF(H73="","",H73/3)</x:f>
      </x:c>
      <x:c r="J73" s="191" t="str">
        <x:f>IF(OR(C73="",I73=""),"",IF(C73="Q66",IF(I73&lt;14000,0,VLOOKUP(I73,'Prim Kuralları'!$F$23:$G$28,2,TRUE)),IF(I73&lt;15000,0,VLOOKUP(I73,'Prim Kuralları'!$F$14:$G$19,2,TRUE))))</x:f>
      </x:c>
      <x:c r="K73" s="694" t="str">
        <x:f>IF(OR(H73="",J73=""),"",ROUND(H73*J73,2))</x:f>
      </x:c>
    </x:row>
    <x:row r="74" ht="22" customHeight="1">
      <x:c r="A74" s="581"/>
      <x:c r="B74" s="187"/>
      <x:c r="C74" s="187"/>
      <x:c r="D74" s="187"/>
      <x:c r="E74" s="583"/>
      <x:c r="F74" s="583"/>
      <x:c r="G74" s="583"/>
      <x:c r="H74" s="585" t="str">
        <x:f>IF(COUNTA(E74:G74)=0,"",SUM(E74:G74))</x:f>
      </x:c>
      <x:c r="I74" s="585" t="str">
        <x:f>IF(H74="","",H74/3)</x:f>
      </x:c>
      <x:c r="J74" s="191" t="str">
        <x:f>IF(OR(C74="",I74=""),"",IF(C74="Q67",IF(I74&lt;14000,0,VLOOKUP(I74,'Prim Kuralları'!$F$23:$G$28,2,TRUE)),IF(I74&lt;15000,0,VLOOKUP(I74,'Prim Kuralları'!$F$14:$G$19,2,TRUE))))</x:f>
      </x:c>
      <x:c r="K74" s="694" t="str">
        <x:f>IF(OR(H74="",J74=""),"",ROUND(H74*J74,2))</x:f>
      </x:c>
    </x:row>
    <x:row r="75" ht="22" customHeight="1">
      <x:c r="A75" s="581"/>
      <x:c r="B75" s="187"/>
      <x:c r="C75" s="187"/>
      <x:c r="D75" s="187"/>
      <x:c r="E75" s="583"/>
      <x:c r="F75" s="583"/>
      <x:c r="G75" s="583"/>
      <x:c r="H75" s="585" t="str">
        <x:f>IF(COUNTA(E75:G75)=0,"",SUM(E75:G75))</x:f>
      </x:c>
      <x:c r="I75" s="585" t="str">
        <x:f>IF(H75="","",H75/3)</x:f>
      </x:c>
      <x:c r="J75" s="191" t="str">
        <x:f>IF(OR(C75="",I75=""),"",IF(C75="Q68",IF(I75&lt;14000,0,VLOOKUP(I75,'Prim Kuralları'!$F$23:$G$28,2,TRUE)),IF(I75&lt;15000,0,VLOOKUP(I75,'Prim Kuralları'!$F$14:$G$19,2,TRUE))))</x:f>
      </x:c>
      <x:c r="K75" s="694" t="str">
        <x:f>IF(OR(H75="",J75=""),"",ROUND(H75*J75,2))</x:f>
      </x:c>
    </x:row>
    <x:row r="76" ht="22" customHeight="1">
      <x:c r="A76" s="581"/>
      <x:c r="B76" s="187"/>
      <x:c r="C76" s="187"/>
      <x:c r="D76" s="187"/>
      <x:c r="E76" s="583"/>
      <x:c r="F76" s="583"/>
      <x:c r="G76" s="583"/>
      <x:c r="H76" s="585" t="str">
        <x:f>IF(COUNTA(E76:G76)=0,"",SUM(E76:G76))</x:f>
      </x:c>
      <x:c r="I76" s="585" t="str">
        <x:f>IF(H76="","",H76/3)</x:f>
      </x:c>
      <x:c r="J76" s="191" t="str">
        <x:f>IF(OR(C76="",I76=""),"",IF(C76="Q69",IF(I76&lt;14000,0,VLOOKUP(I76,'Prim Kuralları'!$F$23:$G$28,2,TRUE)),IF(I76&lt;15000,0,VLOOKUP(I76,'Prim Kuralları'!$F$14:$G$19,2,TRUE))))</x:f>
      </x:c>
      <x:c r="K76" s="694" t="str">
        <x:f>IF(OR(H76="",J76=""),"",ROUND(H76*J76,2))</x:f>
      </x:c>
    </x:row>
    <x:row r="77" ht="22" customHeight="1">
      <x:c r="A77" s="581"/>
      <x:c r="B77" s="187"/>
      <x:c r="C77" s="187"/>
      <x:c r="D77" s="187"/>
      <x:c r="E77" s="583"/>
      <x:c r="F77" s="583"/>
      <x:c r="G77" s="583"/>
      <x:c r="H77" s="585" t="str">
        <x:f>IF(COUNTA(E77:G77)=0,"",SUM(E77:G77))</x:f>
      </x:c>
      <x:c r="I77" s="585" t="str">
        <x:f>IF(H77="","",H77/3)</x:f>
      </x:c>
      <x:c r="J77" s="191" t="str">
        <x:f>IF(OR(C77="",I77=""),"",IF(C77="Q70",IF(I77&lt;14000,0,VLOOKUP(I77,'Prim Kuralları'!$F$23:$G$28,2,TRUE)),IF(I77&lt;15000,0,VLOOKUP(I77,'Prim Kuralları'!$F$14:$G$19,2,TRUE))))</x:f>
      </x:c>
      <x:c r="K77" s="694" t="str">
        <x:f>IF(OR(H77="",J77=""),"",ROUND(H77*J77,2))</x:f>
      </x:c>
    </x:row>
    <x:row r="78" ht="22" customHeight="1">
      <x:c r="A78" s="581"/>
      <x:c r="B78" s="187"/>
      <x:c r="C78" s="187"/>
      <x:c r="D78" s="187"/>
      <x:c r="E78" s="583"/>
      <x:c r="F78" s="583"/>
      <x:c r="G78" s="583"/>
      <x:c r="H78" s="585" t="str">
        <x:f>IF(COUNTA(E78:G78)=0,"",SUM(E78:G78))</x:f>
      </x:c>
      <x:c r="I78" s="585" t="str">
        <x:f>IF(H78="","",H78/3)</x:f>
      </x:c>
      <x:c r="J78" s="191" t="str">
        <x:f>IF(OR(C78="",I78=""),"",IF(C78="Q71",IF(I78&lt;14000,0,VLOOKUP(I78,'Prim Kuralları'!$F$23:$G$28,2,TRUE)),IF(I78&lt;15000,0,VLOOKUP(I78,'Prim Kuralları'!$F$14:$G$19,2,TRUE))))</x:f>
      </x:c>
      <x:c r="K78" s="694" t="str">
        <x:f>IF(OR(H78="",J78=""),"",ROUND(H78*J78,2))</x:f>
      </x:c>
    </x:row>
    <x:row r="79" ht="22" customHeight="1">
      <x:c r="A79" s="581"/>
      <x:c r="B79" s="187"/>
      <x:c r="C79" s="187"/>
      <x:c r="D79" s="187"/>
      <x:c r="E79" s="583"/>
      <x:c r="F79" s="583"/>
      <x:c r="G79" s="583"/>
      <x:c r="H79" s="585" t="str">
        <x:f>IF(COUNTA(E79:G79)=0,"",SUM(E79:G79))</x:f>
      </x:c>
      <x:c r="I79" s="585" t="str">
        <x:f>IF(H79="","",H79/3)</x:f>
      </x:c>
      <x:c r="J79" s="191" t="str">
        <x:f>IF(OR(C79="",I79=""),"",IF(C79="Q72",IF(I79&lt;14000,0,VLOOKUP(I79,'Prim Kuralları'!$F$23:$G$28,2,TRUE)),IF(I79&lt;15000,0,VLOOKUP(I79,'Prim Kuralları'!$F$14:$G$19,2,TRUE))))</x:f>
      </x:c>
      <x:c r="K79" s="694" t="str">
        <x:f>IF(OR(H79="",J79=""),"",ROUND(H79*J79,2))</x:f>
      </x:c>
    </x:row>
    <x:row r="80" ht="22" customHeight="1">
      <x:c r="A80" s="581"/>
      <x:c r="B80" s="187"/>
      <x:c r="C80" s="187"/>
      <x:c r="D80" s="187"/>
      <x:c r="E80" s="583"/>
      <x:c r="F80" s="583"/>
      <x:c r="G80" s="583"/>
      <x:c r="H80" s="585" t="str">
        <x:f>IF(COUNTA(E80:G80)=0,"",SUM(E80:G80))</x:f>
      </x:c>
      <x:c r="I80" s="585" t="str">
        <x:f>IF(H80="","",H80/3)</x:f>
      </x:c>
      <x:c r="J80" s="191" t="str">
        <x:f>IF(OR(C80="",I80=""),"",IF(C80="Q73",IF(I80&lt;14000,0,VLOOKUP(I80,'Prim Kuralları'!$F$23:$G$28,2,TRUE)),IF(I80&lt;15000,0,VLOOKUP(I80,'Prim Kuralları'!$F$14:$G$19,2,TRUE))))</x:f>
      </x:c>
      <x:c r="K80" s="694" t="str">
        <x:f>IF(OR(H80="",J80=""),"",ROUND(H80*J80,2))</x:f>
      </x:c>
    </x:row>
    <x:row r="81" ht="22" customHeight="1">
      <x:c r="A81" s="581"/>
      <x:c r="B81" s="187"/>
      <x:c r="C81" s="187"/>
      <x:c r="D81" s="187"/>
      <x:c r="E81" s="583"/>
      <x:c r="F81" s="583"/>
      <x:c r="G81" s="583"/>
      <x:c r="H81" s="585" t="str">
        <x:f>IF(COUNTA(E81:G81)=0,"",SUM(E81:G81))</x:f>
      </x:c>
      <x:c r="I81" s="585" t="str">
        <x:f>IF(H81="","",H81/3)</x:f>
      </x:c>
      <x:c r="J81" s="191" t="str">
        <x:f>IF(OR(C81="",I81=""),"",IF(C81="Q74",IF(I81&lt;14000,0,VLOOKUP(I81,'Prim Kuralları'!$F$23:$G$28,2,TRUE)),IF(I81&lt;15000,0,VLOOKUP(I81,'Prim Kuralları'!$F$14:$G$19,2,TRUE))))</x:f>
      </x:c>
      <x:c r="K81" s="694" t="str">
        <x:f>IF(OR(H81="",J81=""),"",ROUND(H81*J81,2))</x:f>
      </x:c>
    </x:row>
    <x:row r="82" ht="22" customHeight="1">
      <x:c r="A82" s="581"/>
      <x:c r="B82" s="187"/>
      <x:c r="C82" s="187"/>
      <x:c r="D82" s="187"/>
      <x:c r="E82" s="583"/>
      <x:c r="F82" s="583"/>
      <x:c r="G82" s="583"/>
      <x:c r="H82" s="585" t="str">
        <x:f>IF(COUNTA(E82:G82)=0,"",SUM(E82:G82))</x:f>
      </x:c>
      <x:c r="I82" s="585" t="str">
        <x:f>IF(H82="","",H82/3)</x:f>
      </x:c>
      <x:c r="J82" s="191" t="str">
        <x:f>IF(OR(C82="",I82=""),"",IF(C82="Q75",IF(I82&lt;14000,0,VLOOKUP(I82,'Prim Kuralları'!$F$23:$G$28,2,TRUE)),IF(I82&lt;15000,0,VLOOKUP(I82,'Prim Kuralları'!$F$14:$G$19,2,TRUE))))</x:f>
      </x:c>
      <x:c r="K82" s="694" t="str">
        <x:f>IF(OR(H82="",J82=""),"",ROUND(H82*J82,2))</x:f>
      </x:c>
    </x:row>
    <x:row r="83" ht="22" customHeight="1">
      <x:c r="A83" s="581"/>
      <x:c r="B83" s="187"/>
      <x:c r="C83" s="187"/>
      <x:c r="D83" s="187"/>
      <x:c r="E83" s="583"/>
      <x:c r="F83" s="583"/>
      <x:c r="G83" s="583"/>
      <x:c r="H83" s="585" t="str">
        <x:f>IF(COUNTA(E83:G83)=0,"",SUM(E83:G83))</x:f>
      </x:c>
      <x:c r="I83" s="585" t="str">
        <x:f>IF(H83="","",H83/3)</x:f>
      </x:c>
      <x:c r="J83" s="191" t="str">
        <x:f>IF(OR(C83="",I83=""),"",IF(C83="Q76",IF(I83&lt;14000,0,VLOOKUP(I83,'Prim Kuralları'!$F$23:$G$28,2,TRUE)),IF(I83&lt;15000,0,VLOOKUP(I83,'Prim Kuralları'!$F$14:$G$19,2,TRUE))))</x:f>
      </x:c>
      <x:c r="K83" s="694" t="str">
        <x:f>IF(OR(H83="",J83=""),"",ROUND(H83*J83,2))</x:f>
      </x:c>
    </x:row>
    <x:row r="84" ht="22" customHeight="1">
      <x:c r="A84" s="581"/>
      <x:c r="B84" s="187"/>
      <x:c r="C84" s="187"/>
      <x:c r="D84" s="187"/>
      <x:c r="E84" s="583"/>
      <x:c r="F84" s="583"/>
      <x:c r="G84" s="583"/>
      <x:c r="H84" s="585" t="str">
        <x:f>IF(COUNTA(E84:G84)=0,"",SUM(E84:G84))</x:f>
      </x:c>
      <x:c r="I84" s="585" t="str">
        <x:f>IF(H84="","",H84/3)</x:f>
      </x:c>
      <x:c r="J84" s="191" t="str">
        <x:f>IF(OR(C84="",I84=""),"",IF(C84="Q77",IF(I84&lt;14000,0,VLOOKUP(I84,'Prim Kuralları'!$F$23:$G$28,2,TRUE)),IF(I84&lt;15000,0,VLOOKUP(I84,'Prim Kuralları'!$F$14:$G$19,2,TRUE))))</x:f>
      </x:c>
      <x:c r="K84" s="694" t="str">
        <x:f>IF(OR(H84="",J84=""),"",ROUND(H84*J84,2))</x:f>
      </x:c>
    </x:row>
    <x:row r="85" ht="22" customHeight="1">
      <x:c r="A85" s="581"/>
      <x:c r="B85" s="187"/>
      <x:c r="C85" s="187"/>
      <x:c r="D85" s="187"/>
      <x:c r="E85" s="583"/>
      <x:c r="F85" s="583"/>
      <x:c r="G85" s="583"/>
      <x:c r="H85" s="585" t="str">
        <x:f>IF(COUNTA(E85:G85)=0,"",SUM(E85:G85))</x:f>
      </x:c>
      <x:c r="I85" s="585" t="str">
        <x:f>IF(H85="","",H85/3)</x:f>
      </x:c>
      <x:c r="J85" s="191" t="str">
        <x:f>IF(OR(C85="",I85=""),"",IF(C85="Q78",IF(I85&lt;14000,0,VLOOKUP(I85,'Prim Kuralları'!$F$23:$G$28,2,TRUE)),IF(I85&lt;15000,0,VLOOKUP(I85,'Prim Kuralları'!$F$14:$G$19,2,TRUE))))</x:f>
      </x:c>
      <x:c r="K85" s="694" t="str">
        <x:f>IF(OR(H85="",J85=""),"",ROUND(H85*J85,2))</x:f>
      </x:c>
    </x:row>
    <x:row r="86" ht="22" customHeight="1">
      <x:c r="A86" s="581"/>
      <x:c r="B86" s="187"/>
      <x:c r="C86" s="187"/>
      <x:c r="D86" s="187"/>
      <x:c r="E86" s="583"/>
      <x:c r="F86" s="583"/>
      <x:c r="G86" s="583"/>
      <x:c r="H86" s="585" t="str">
        <x:f>IF(COUNTA(E86:G86)=0,"",SUM(E86:G86))</x:f>
      </x:c>
      <x:c r="I86" s="585" t="str">
        <x:f>IF(H86="","",H86/3)</x:f>
      </x:c>
      <x:c r="J86" s="191" t="str">
        <x:f>IF(OR(C86="",I86=""),"",IF(C86="Q79",IF(I86&lt;14000,0,VLOOKUP(I86,'Prim Kuralları'!$F$23:$G$28,2,TRUE)),IF(I86&lt;15000,0,VLOOKUP(I86,'Prim Kuralları'!$F$14:$G$19,2,TRUE))))</x:f>
      </x:c>
      <x:c r="K86" s="694" t="str">
        <x:f>IF(OR(H86="",J86=""),"",ROUND(H86*J86,2))</x:f>
      </x:c>
    </x:row>
    <x:row r="87" ht="22" customHeight="1">
      <x:c r="A87" s="581"/>
      <x:c r="B87" s="187"/>
      <x:c r="C87" s="187"/>
      <x:c r="D87" s="187"/>
      <x:c r="E87" s="583"/>
      <x:c r="F87" s="583"/>
      <x:c r="G87" s="583"/>
      <x:c r="H87" s="585" t="str">
        <x:f>IF(COUNTA(E87:G87)=0,"",SUM(E87:G87))</x:f>
      </x:c>
      <x:c r="I87" s="585" t="str">
        <x:f>IF(H87="","",H87/3)</x:f>
      </x:c>
      <x:c r="J87" s="191" t="str">
        <x:f>IF(OR(C87="",I87=""),"",IF(C87="Q80",IF(I87&lt;14000,0,VLOOKUP(I87,'Prim Kuralları'!$F$23:$G$28,2,TRUE)),IF(I87&lt;15000,0,VLOOKUP(I87,'Prim Kuralları'!$F$14:$G$19,2,TRUE))))</x:f>
      </x:c>
      <x:c r="K87" s="694" t="str">
        <x:f>IF(OR(H87="",J87=""),"",ROUND(H87*J87,2))</x:f>
      </x:c>
    </x:row>
    <x:row r="88" ht="22" customHeight="1">
      <x:c r="A88" s="581"/>
      <x:c r="B88" s="187"/>
      <x:c r="C88" s="187"/>
      <x:c r="D88" s="187"/>
      <x:c r="E88" s="583"/>
      <x:c r="F88" s="583"/>
      <x:c r="G88" s="583"/>
      <x:c r="H88" s="585" t="str">
        <x:f>IF(COUNTA(E88:G88)=0,"",SUM(E88:G88))</x:f>
      </x:c>
      <x:c r="I88" s="585" t="str">
        <x:f>IF(H88="","",H88/3)</x:f>
      </x:c>
      <x:c r="J88" s="191" t="str">
        <x:f>IF(OR(C88="",I88=""),"",IF(C88="Q81",IF(I88&lt;14000,0,VLOOKUP(I88,'Prim Kuralları'!$F$23:$G$28,2,TRUE)),IF(I88&lt;15000,0,VLOOKUP(I88,'Prim Kuralları'!$F$14:$G$19,2,TRUE))))</x:f>
      </x:c>
      <x:c r="K88" s="694" t="str">
        <x:f>IF(OR(H88="",J88=""),"",ROUND(H88*J88,2))</x:f>
      </x:c>
    </x:row>
    <x:row r="89" ht="22" customHeight="1">
      <x:c r="A89" s="581"/>
      <x:c r="B89" s="187"/>
      <x:c r="C89" s="187"/>
      <x:c r="D89" s="187"/>
      <x:c r="E89" s="583"/>
      <x:c r="F89" s="583"/>
      <x:c r="G89" s="583"/>
      <x:c r="H89" s="585" t="str">
        <x:f>IF(COUNTA(E89:G89)=0,"",SUM(E89:G89))</x:f>
      </x:c>
      <x:c r="I89" s="585" t="str">
        <x:f>IF(H89="","",H89/3)</x:f>
      </x:c>
      <x:c r="J89" s="191" t="str">
        <x:f>IF(OR(C89="",I89=""),"",IF(C89="Q82",IF(I89&lt;14000,0,VLOOKUP(I89,'Prim Kuralları'!$F$23:$G$28,2,TRUE)),IF(I89&lt;15000,0,VLOOKUP(I89,'Prim Kuralları'!$F$14:$G$19,2,TRUE))))</x:f>
      </x:c>
      <x:c r="K89" s="694" t="str">
        <x:f>IF(OR(H89="",J89=""),"",ROUND(H89*J89,2))</x:f>
      </x:c>
    </x:row>
    <x:row r="90" ht="22" customHeight="1">
      <x:c r="A90" s="581"/>
      <x:c r="B90" s="187"/>
      <x:c r="C90" s="187"/>
      <x:c r="D90" s="187"/>
      <x:c r="E90" s="583"/>
      <x:c r="F90" s="583"/>
      <x:c r="G90" s="583"/>
      <x:c r="H90" s="585" t="str">
        <x:f>IF(COUNTA(E90:G90)=0,"",SUM(E90:G90))</x:f>
      </x:c>
      <x:c r="I90" s="585" t="str">
        <x:f>IF(H90="","",H90/3)</x:f>
      </x:c>
      <x:c r="J90" s="191" t="str">
        <x:f>IF(OR(C90="",I90=""),"",IF(C90="Q83",IF(I90&lt;14000,0,VLOOKUP(I90,'Prim Kuralları'!$F$23:$G$28,2,TRUE)),IF(I90&lt;15000,0,VLOOKUP(I90,'Prim Kuralları'!$F$14:$G$19,2,TRUE))))</x:f>
      </x:c>
      <x:c r="K90" s="694" t="str">
        <x:f>IF(OR(H90="",J90=""),"",ROUND(H90*J90,2))</x:f>
      </x:c>
    </x:row>
    <x:row r="91" ht="22" customHeight="1">
      <x:c r="A91" s="581"/>
      <x:c r="B91" s="187"/>
      <x:c r="C91" s="187"/>
      <x:c r="D91" s="187"/>
      <x:c r="E91" s="583"/>
      <x:c r="F91" s="583"/>
      <x:c r="G91" s="583"/>
      <x:c r="H91" s="585" t="str">
        <x:f>IF(COUNTA(E91:G91)=0,"",SUM(E91:G91))</x:f>
      </x:c>
      <x:c r="I91" s="585" t="str">
        <x:f>IF(H91="","",H91/3)</x:f>
      </x:c>
      <x:c r="J91" s="191" t="str">
        <x:f>IF(OR(C91="",I91=""),"",IF(C91="Q84",IF(I91&lt;14000,0,VLOOKUP(I91,'Prim Kuralları'!$F$23:$G$28,2,TRUE)),IF(I91&lt;15000,0,VLOOKUP(I91,'Prim Kuralları'!$F$14:$G$19,2,TRUE))))</x:f>
      </x:c>
      <x:c r="K91" s="694" t="str">
        <x:f>IF(OR(H91="",J91=""),"",ROUND(H91*J91,2))</x:f>
      </x:c>
    </x:row>
    <x:row r="92" ht="22" customHeight="1">
      <x:c r="A92" s="581"/>
      <x:c r="B92" s="187"/>
      <x:c r="C92" s="187"/>
      <x:c r="D92" s="187"/>
      <x:c r="E92" s="583"/>
      <x:c r="F92" s="583"/>
      <x:c r="G92" s="583"/>
      <x:c r="H92" s="585" t="str">
        <x:f>IF(COUNTA(E92:G92)=0,"",SUM(E92:G92))</x:f>
      </x:c>
      <x:c r="I92" s="585" t="str">
        <x:f>IF(H92="","",H92/3)</x:f>
      </x:c>
      <x:c r="J92" s="191" t="str">
        <x:f>IF(OR(C92="",I92=""),"",IF(C92="Q85",IF(I92&lt;14000,0,VLOOKUP(I92,'Prim Kuralları'!$F$23:$G$28,2,TRUE)),IF(I92&lt;15000,0,VLOOKUP(I92,'Prim Kuralları'!$F$14:$G$19,2,TRUE))))</x:f>
      </x:c>
      <x:c r="K92" s="694" t="str">
        <x:f>IF(OR(H92="",J92=""),"",ROUND(H92*J92,2))</x:f>
      </x:c>
    </x:row>
    <x:row r="93" ht="22" customHeight="1">
      <x:c r="A93" s="581"/>
      <x:c r="B93" s="187"/>
      <x:c r="C93" s="187"/>
      <x:c r="D93" s="187"/>
      <x:c r="E93" s="583"/>
      <x:c r="F93" s="583"/>
      <x:c r="G93" s="583"/>
      <x:c r="H93" s="585" t="str">
        <x:f>IF(COUNTA(E93:G93)=0,"",SUM(E93:G93))</x:f>
      </x:c>
      <x:c r="I93" s="585" t="str">
        <x:f>IF(H93="","",H93/3)</x:f>
      </x:c>
      <x:c r="J93" s="191" t="str">
        <x:f>IF(OR(C93="",I93=""),"",IF(C93="Q86",IF(I93&lt;14000,0,VLOOKUP(I93,'Prim Kuralları'!$F$23:$G$28,2,TRUE)),IF(I93&lt;15000,0,VLOOKUP(I93,'Prim Kuralları'!$F$14:$G$19,2,TRUE))))</x:f>
      </x:c>
      <x:c r="K93" s="694" t="str">
        <x:f>IF(OR(H93="",J93=""),"",ROUND(H93*J93,2))</x:f>
      </x:c>
    </x:row>
    <x:row r="94" ht="22" customHeight="1">
      <x:c r="A94" s="581"/>
      <x:c r="B94" s="187"/>
      <x:c r="C94" s="187"/>
      <x:c r="D94" s="187"/>
      <x:c r="E94" s="583"/>
      <x:c r="F94" s="583"/>
      <x:c r="G94" s="583"/>
      <x:c r="H94" s="585" t="str">
        <x:f>IF(COUNTA(E94:G94)=0,"",SUM(E94:G94))</x:f>
      </x:c>
      <x:c r="I94" s="585" t="str">
        <x:f>IF(H94="","",H94/3)</x:f>
      </x:c>
      <x:c r="J94" s="191" t="str">
        <x:f>IF(OR(C94="",I94=""),"",IF(C94="Q87",IF(I94&lt;14000,0,VLOOKUP(I94,'Prim Kuralları'!$F$23:$G$28,2,TRUE)),IF(I94&lt;15000,0,VLOOKUP(I94,'Prim Kuralları'!$F$14:$G$19,2,TRUE))))</x:f>
      </x:c>
      <x:c r="K94" s="694" t="str">
        <x:f>IF(OR(H94="",J94=""),"",ROUND(H94*J94,2))</x:f>
      </x:c>
    </x:row>
    <x:row r="95" ht="22" customHeight="1">
      <x:c r="A95" s="581"/>
      <x:c r="B95" s="187"/>
      <x:c r="C95" s="187"/>
      <x:c r="D95" s="187"/>
      <x:c r="E95" s="583"/>
      <x:c r="F95" s="583"/>
      <x:c r="G95" s="583"/>
      <x:c r="H95" s="585" t="str">
        <x:f>IF(COUNTA(E95:G95)=0,"",SUM(E95:G95))</x:f>
      </x:c>
      <x:c r="I95" s="585" t="str">
        <x:f>IF(H95="","",H95/3)</x:f>
      </x:c>
      <x:c r="J95" s="191" t="str">
        <x:f>IF(OR(C95="",I95=""),"",IF(C95="Q88",IF(I95&lt;14000,0,VLOOKUP(I95,'Prim Kuralları'!$F$23:$G$28,2,TRUE)),IF(I95&lt;15000,0,VLOOKUP(I95,'Prim Kuralları'!$F$14:$G$19,2,TRUE))))</x:f>
      </x:c>
      <x:c r="K95" s="694" t="str">
        <x:f>IF(OR(H95="",J95=""),"",ROUND(H95*J95,2))</x:f>
      </x:c>
    </x:row>
    <x:row r="96" ht="22" customHeight="1">
      <x:c r="A96" s="581"/>
      <x:c r="B96" s="187"/>
      <x:c r="C96" s="187"/>
      <x:c r="D96" s="187"/>
      <x:c r="E96" s="583"/>
      <x:c r="F96" s="583"/>
      <x:c r="G96" s="583"/>
      <x:c r="H96" s="585" t="str">
        <x:f>IF(COUNTA(E96:G96)=0,"",SUM(E96:G96))</x:f>
      </x:c>
      <x:c r="I96" s="585" t="str">
        <x:f>IF(H96="","",H96/3)</x:f>
      </x:c>
      <x:c r="J96" s="191" t="str">
        <x:f>IF(OR(C96="",I96=""),"",IF(C96="Q89",IF(I96&lt;14000,0,VLOOKUP(I96,'Prim Kuralları'!$F$23:$G$28,2,TRUE)),IF(I96&lt;15000,0,VLOOKUP(I96,'Prim Kuralları'!$F$14:$G$19,2,TRUE))))</x:f>
      </x:c>
      <x:c r="K96" s="694" t="str">
        <x:f>IF(OR(H96="",J96=""),"",ROUND(H96*J96,2))</x:f>
      </x:c>
    </x:row>
    <x:row r="97" ht="22" customHeight="1">
      <x:c r="A97" s="581"/>
      <x:c r="B97" s="187"/>
      <x:c r="C97" s="187"/>
      <x:c r="D97" s="187"/>
      <x:c r="E97" s="583"/>
      <x:c r="F97" s="583"/>
      <x:c r="G97" s="583"/>
      <x:c r="H97" s="585" t="str">
        <x:f>IF(COUNTA(E97:G97)=0,"",SUM(E97:G97))</x:f>
      </x:c>
      <x:c r="I97" s="585" t="str">
        <x:f>IF(H97="","",H97/3)</x:f>
      </x:c>
      <x:c r="J97" s="191" t="str">
        <x:f>IF(OR(C97="",I97=""),"",IF(C97="Q90",IF(I97&lt;14000,0,VLOOKUP(I97,'Prim Kuralları'!$F$23:$G$28,2,TRUE)),IF(I97&lt;15000,0,VLOOKUP(I97,'Prim Kuralları'!$F$14:$G$19,2,TRUE))))</x:f>
      </x:c>
      <x:c r="K97" s="694" t="str">
        <x:f>IF(OR(H97="",J97=""),"",ROUND(H97*J97,2))</x:f>
      </x:c>
    </x:row>
    <x:row r="98" ht="22" customHeight="1">
      <x:c r="A98" s="581"/>
      <x:c r="B98" s="187"/>
      <x:c r="C98" s="187"/>
      <x:c r="D98" s="187"/>
      <x:c r="E98" s="583"/>
      <x:c r="F98" s="583"/>
      <x:c r="G98" s="583"/>
      <x:c r="H98" s="585" t="str">
        <x:f>IF(COUNTA(E98:G98)=0,"",SUM(E98:G98))</x:f>
      </x:c>
      <x:c r="I98" s="585" t="str">
        <x:f>IF(H98="","",H98/3)</x:f>
      </x:c>
      <x:c r="J98" s="191" t="str">
        <x:f>IF(OR(C98="",I98=""),"",IF(C98="Q91",IF(I98&lt;14000,0,VLOOKUP(I98,'Prim Kuralları'!$F$23:$G$28,2,TRUE)),IF(I98&lt;15000,0,VLOOKUP(I98,'Prim Kuralları'!$F$14:$G$19,2,TRUE))))</x:f>
      </x:c>
      <x:c r="K98" s="694" t="str">
        <x:f>IF(OR(H98="",J98=""),"",ROUND(H98*J98,2))</x:f>
      </x:c>
    </x:row>
    <x:row r="99" ht="22" customHeight="1">
      <x:c r="A99" s="581"/>
      <x:c r="B99" s="187"/>
      <x:c r="C99" s="187"/>
      <x:c r="D99" s="187"/>
      <x:c r="E99" s="583"/>
      <x:c r="F99" s="583"/>
      <x:c r="G99" s="583"/>
      <x:c r="H99" s="585" t="str">
        <x:f>IF(COUNTA(E99:G99)=0,"",SUM(E99:G99))</x:f>
      </x:c>
      <x:c r="I99" s="585" t="str">
        <x:f>IF(H99="","",H99/3)</x:f>
      </x:c>
      <x:c r="J99" s="191" t="str">
        <x:f>IF(OR(C99="",I99=""),"",IF(C99="Q92",IF(I99&lt;14000,0,VLOOKUP(I99,'Prim Kuralları'!$F$23:$G$28,2,TRUE)),IF(I99&lt;15000,0,VLOOKUP(I99,'Prim Kuralları'!$F$14:$G$19,2,TRUE))))</x:f>
      </x:c>
      <x:c r="K99" s="694" t="str">
        <x:f>IF(OR(H99="",J99=""),"",ROUND(H99*J99,2))</x:f>
      </x:c>
    </x:row>
    <x:row r="100" ht="22" customHeight="1">
      <x:c r="A100" s="581"/>
      <x:c r="B100" s="187"/>
      <x:c r="C100" s="187"/>
      <x:c r="D100" s="187"/>
      <x:c r="E100" s="583"/>
      <x:c r="F100" s="583"/>
      <x:c r="G100" s="583"/>
      <x:c r="H100" s="585" t="str">
        <x:f>IF(COUNTA(E100:G100)=0,"",SUM(E100:G100))</x:f>
      </x:c>
      <x:c r="I100" s="585" t="str">
        <x:f>IF(H100="","",H100/3)</x:f>
      </x:c>
      <x:c r="J100" s="191" t="str">
        <x:f>IF(OR(C100="",I100=""),"",IF(C100="Q93",IF(I100&lt;14000,0,VLOOKUP(I100,'Prim Kuralları'!$F$23:$G$28,2,TRUE)),IF(I100&lt;15000,0,VLOOKUP(I100,'Prim Kuralları'!$F$14:$G$19,2,TRUE))))</x:f>
      </x:c>
      <x:c r="K100" s="694" t="str">
        <x:f>IF(OR(H100="",J100=""),"",ROUND(H100*J100,2))</x:f>
      </x:c>
    </x:row>
    <x:row r="101" ht="22" customHeight="1">
      <x:c r="A101" s="581"/>
      <x:c r="B101" s="187"/>
      <x:c r="C101" s="187"/>
      <x:c r="D101" s="187"/>
      <x:c r="E101" s="583"/>
      <x:c r="F101" s="583"/>
      <x:c r="G101" s="583"/>
      <x:c r="H101" s="585" t="str">
        <x:f>IF(COUNTA(E101:G101)=0,"",SUM(E101:G101))</x:f>
      </x:c>
      <x:c r="I101" s="585" t="str">
        <x:f>IF(H101="","",H101/3)</x:f>
      </x:c>
      <x:c r="J101" s="191" t="str">
        <x:f>IF(OR(C101="",I101=""),"",IF(C101="Q94",IF(I101&lt;14000,0,VLOOKUP(I101,'Prim Kuralları'!$F$23:$G$28,2,TRUE)),IF(I101&lt;15000,0,VLOOKUP(I101,'Prim Kuralları'!$F$14:$G$19,2,TRUE))))</x:f>
      </x:c>
      <x:c r="K101" s="694" t="str">
        <x:f>IF(OR(H101="",J101=""),"",ROUND(H101*J101,2))</x:f>
      </x:c>
    </x:row>
    <x:row r="102" ht="22" customHeight="1">
      <x:c r="A102" s="581"/>
      <x:c r="B102" s="187"/>
      <x:c r="C102" s="187"/>
      <x:c r="D102" s="187"/>
      <x:c r="E102" s="583"/>
      <x:c r="F102" s="583"/>
      <x:c r="G102" s="583"/>
      <x:c r="H102" s="585" t="str">
        <x:f>IF(COUNTA(E102:G102)=0,"",SUM(E102:G102))</x:f>
      </x:c>
      <x:c r="I102" s="585" t="str">
        <x:f>IF(H102="","",H102/3)</x:f>
      </x:c>
      <x:c r="J102" s="191" t="str">
        <x:f>IF(OR(C102="",I102=""),"",IF(C102="Q95",IF(I102&lt;14000,0,VLOOKUP(I102,'Prim Kuralları'!$F$23:$G$28,2,TRUE)),IF(I102&lt;15000,0,VLOOKUP(I102,'Prim Kuralları'!$F$14:$G$19,2,TRUE))))</x:f>
      </x:c>
      <x:c r="K102" s="694" t="str">
        <x:f>IF(OR(H102="",J102=""),"",ROUND(H102*J102,2))</x:f>
      </x:c>
    </x:row>
    <x:row r="103" ht="22" customHeight="1">
      <x:c r="A103" s="581"/>
      <x:c r="B103" s="187"/>
      <x:c r="C103" s="187"/>
      <x:c r="D103" s="187"/>
      <x:c r="E103" s="583"/>
      <x:c r="F103" s="583"/>
      <x:c r="G103" s="583"/>
      <x:c r="H103" s="585" t="str">
        <x:f>IF(COUNTA(E103:G103)=0,"",SUM(E103:G103))</x:f>
      </x:c>
      <x:c r="I103" s="585" t="str">
        <x:f>IF(H103="","",H103/3)</x:f>
      </x:c>
      <x:c r="J103" s="191" t="str">
        <x:f>IF(OR(C103="",I103=""),"",IF(C103="Q96",IF(I103&lt;14000,0,VLOOKUP(I103,'Prim Kuralları'!$F$23:$G$28,2,TRUE)),IF(I103&lt;15000,0,VLOOKUP(I103,'Prim Kuralları'!$F$14:$G$19,2,TRUE))))</x:f>
      </x:c>
      <x:c r="K103" s="694" t="str">
        <x:f>IF(OR(H103="",J103=""),"",ROUND(H103*J103,2))</x:f>
      </x:c>
    </x:row>
    <x:row r="104" ht="22" customHeight="1">
      <x:c r="A104" s="581"/>
      <x:c r="B104" s="187"/>
      <x:c r="C104" s="187"/>
      <x:c r="D104" s="187"/>
      <x:c r="E104" s="583"/>
      <x:c r="F104" s="583"/>
      <x:c r="G104" s="583"/>
      <x:c r="H104" s="585" t="str">
        <x:f>IF(COUNTA(E104:G104)=0,"",SUM(E104:G104))</x:f>
      </x:c>
      <x:c r="I104" s="585" t="str">
        <x:f>IF(H104="","",H104/3)</x:f>
      </x:c>
      <x:c r="J104" s="191" t="str">
        <x:f>IF(OR(C104="",I104=""),"",IF(C104="Q97",IF(I104&lt;14000,0,VLOOKUP(I104,'Prim Kuralları'!$F$23:$G$28,2,TRUE)),IF(I104&lt;15000,0,VLOOKUP(I104,'Prim Kuralları'!$F$14:$G$19,2,TRUE))))</x:f>
      </x:c>
      <x:c r="K104" s="694" t="str">
        <x:f>IF(OR(H104="",J104=""),"",ROUND(H104*J104,2))</x:f>
      </x:c>
    </x:row>
    <x:row r="105" ht="22" customHeight="1">
      <x:c r="A105" s="581"/>
      <x:c r="B105" s="187"/>
      <x:c r="C105" s="187"/>
      <x:c r="D105" s="187"/>
      <x:c r="E105" s="583"/>
      <x:c r="F105" s="583"/>
      <x:c r="G105" s="583"/>
      <x:c r="H105" s="585" t="str">
        <x:f>IF(COUNTA(E105:G105)=0,"",SUM(E105:G105))</x:f>
      </x:c>
      <x:c r="I105" s="585" t="str">
        <x:f>IF(H105="","",H105/3)</x:f>
      </x:c>
      <x:c r="J105" s="191" t="str">
        <x:f>IF(OR(C105="",I105=""),"",IF(C105="Q98",IF(I105&lt;14000,0,VLOOKUP(I105,'Prim Kuralları'!$F$23:$G$28,2,TRUE)),IF(I105&lt;15000,0,VLOOKUP(I105,'Prim Kuralları'!$F$14:$G$19,2,TRUE))))</x:f>
      </x:c>
      <x:c r="K105" s="694" t="str">
        <x:f>IF(OR(H105="",J105=""),"",ROUND(H105*J105,2))</x:f>
      </x:c>
    </x:row>
    <x:row r="106" ht="22" customHeight="1">
      <x:c r="A106" s="581"/>
      <x:c r="B106" s="187"/>
      <x:c r="C106" s="187"/>
      <x:c r="D106" s="187"/>
      <x:c r="E106" s="583"/>
      <x:c r="F106" s="583"/>
      <x:c r="G106" s="583"/>
      <x:c r="H106" s="585" t="str">
        <x:f>IF(COUNTA(E106:G106)=0,"",SUM(E106:G106))</x:f>
      </x:c>
      <x:c r="I106" s="585" t="str">
        <x:f>IF(H106="","",H106/3)</x:f>
      </x:c>
      <x:c r="J106" s="191" t="str">
        <x:f>IF(OR(C106="",I106=""),"",IF(C106="Q99",IF(I106&lt;14000,0,VLOOKUP(I106,'Prim Kuralları'!$F$23:$G$28,2,TRUE)),IF(I106&lt;15000,0,VLOOKUP(I106,'Prim Kuralları'!$F$14:$G$19,2,TRUE))))</x:f>
      </x:c>
      <x:c r="K106" s="694" t="str">
        <x:f>IF(OR(H106="",J106=""),"",ROUND(H106*J106,2))</x:f>
      </x:c>
    </x:row>
    <x:row r="107" ht="22" customHeight="1">
      <x:c r="A107" s="581"/>
      <x:c r="B107" s="187"/>
      <x:c r="C107" s="187"/>
      <x:c r="D107" s="187"/>
      <x:c r="E107" s="583"/>
      <x:c r="F107" s="583"/>
      <x:c r="G107" s="583"/>
      <x:c r="H107" s="585" t="str">
        <x:f>IF(COUNTA(E107:G107)=0,"",SUM(E107:G107))</x:f>
      </x:c>
      <x:c r="I107" s="585" t="str">
        <x:f>IF(H107="","",H107/3)</x:f>
      </x:c>
      <x:c r="J107" s="191" t="str">
        <x:f>IF(OR(C107="",I107=""),"",IF(C107="Q100",IF(I107&lt;14000,0,VLOOKUP(I107,'Prim Kuralları'!$F$23:$G$28,2,TRUE)),IF(I107&lt;15000,0,VLOOKUP(I107,'Prim Kuralları'!$F$14:$G$19,2,TRUE))))</x:f>
      </x:c>
      <x:c r="K107" s="694" t="str">
        <x:f>IF(OR(H107="",J107=""),"",ROUND(H107*J107,2))</x:f>
      </x:c>
    </x:row>
    <x:row r="108" ht="22" customHeight="1">
      <x:c r="A108" s="581"/>
      <x:c r="B108" s="187"/>
      <x:c r="C108" s="187"/>
      <x:c r="D108" s="187"/>
      <x:c r="E108" s="583"/>
      <x:c r="F108" s="583"/>
      <x:c r="G108" s="583"/>
      <x:c r="H108" s="585" t="str">
        <x:f>IF(COUNTA(E108:G108)=0,"",SUM(E108:G108))</x:f>
      </x:c>
      <x:c r="I108" s="585" t="str">
        <x:f>IF(H108="","",H108/3)</x:f>
      </x:c>
      <x:c r="J108" s="191" t="str">
        <x:f>IF(OR(C108="",I108=""),"",IF(C108="Q101",IF(I108&lt;14000,0,VLOOKUP(I108,'Prim Kuralları'!$F$23:$G$28,2,TRUE)),IF(I108&lt;15000,0,VLOOKUP(I108,'Prim Kuralları'!$F$14:$G$19,2,TRUE))))</x:f>
      </x:c>
      <x:c r="K108" s="694" t="str">
        <x:f>IF(OR(H108="",J108=""),"",ROUND(H108*J108,2))</x:f>
      </x:c>
    </x:row>
    <x:row r="109" ht="22" customHeight="1">
      <x:c r="A109" s="581"/>
      <x:c r="B109" s="187"/>
      <x:c r="C109" s="187"/>
      <x:c r="D109" s="187"/>
      <x:c r="E109" s="583"/>
      <x:c r="F109" s="583"/>
      <x:c r="G109" s="583"/>
      <x:c r="H109" s="585" t="str">
        <x:f>IF(COUNTA(E109:G109)=0,"",SUM(E109:G109))</x:f>
      </x:c>
      <x:c r="I109" s="585" t="str">
        <x:f>IF(H109="","",H109/3)</x:f>
      </x:c>
      <x:c r="J109" s="191" t="str">
        <x:f>IF(OR(C109="",I109=""),"",IF(C109="Q102",IF(I109&lt;14000,0,VLOOKUP(I109,'Prim Kuralları'!$F$23:$G$28,2,TRUE)),IF(I109&lt;15000,0,VLOOKUP(I109,'Prim Kuralları'!$F$14:$G$19,2,TRUE))))</x:f>
      </x:c>
      <x:c r="K109" s="694" t="str">
        <x:f>IF(OR(H109="",J109=""),"",ROUND(H109*J109,2))</x:f>
      </x:c>
    </x:row>
    <x:row r="110" ht="22" customHeight="1">
      <x:c r="A110" s="587"/>
      <x:c r="B110" s="588"/>
      <x:c r="C110" s="588"/>
      <x:c r="D110" s="588"/>
      <x:c r="E110" s="590"/>
      <x:c r="F110" s="590"/>
      <x:c r="G110" s="590"/>
      <x:c r="H110" s="593" t="str">
        <x:f>IF(COUNTA(E110:G110)=0,"",SUM(E110:G110))</x:f>
      </x:c>
      <x:c r="I110" s="593" t="str">
        <x:f>IF(H110="","",H110/3)</x:f>
      </x:c>
      <x:c r="J110" s="592" t="str">
        <x:f>IF(OR(C110="",I110=""),"",IF(C110="Q103",IF(I110&lt;14000,0,VLOOKUP(I110,'Prim Kuralları'!$F$23:$G$28,2,TRUE)),IF(I110&lt;15000,0,VLOOKUP(I110,'Prim Kuralları'!$F$14:$G$19,2,TRUE))))</x:f>
      </x:c>
      <x:c r="K110" s="695" t="str">
        <x:f>IF(OR(H110="",J110=""),"",ROUND(H110*J110,2))</x:f>
      </x:c>
    </x:row>
  </x:sheetData>
  <x:mergeCells>
    <x:mergeCell ref="A1:K2"/>
    <x:mergeCell ref="D4:K7"/>
  </x:mergeCells>
  <x:conditionalFormatting sqref="J11:J1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11:K110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{9C4D89A8-A6A1-DDD1-F276-74968F48338F}</x14:id>
        </x:ext>
      </x:extLst>
    </x:cfRule>
  </x:conditionalFormatting>
  <x:dataValidations count="3">
    <x:dataValidation type="list" sqref="B11:B110">
      <x:formula1>"Istanbul,Morocco"</x:formula1>
    </x:dataValidation>
    <x:dataValidation type="list" sqref="C11:C110">
      <x:formula1>"Q1,Q2,Q3,Q4"</x:formula1>
    </x:dataValidation>
    <x:dataValidation operator="between" sqref="D11:D110">
      <x:formula1>2025</x:formula1>
      <x:formula2>2035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C4D89A8-A6A1-DDD1-F276-74968F48338F}">
            <x14:dataBar gradient="1">
              <x14:cfvo type="min"/>
              <x14:cfvo type="max"/>
              <x14:fillColor rgb="FF70AD47"/>
            </x14:dataBar>
          </x14:cfRule>
          <xm:sqref>K11:K110</xm:sqref>
        </x14:conditionalFormatting>
      </x14:conditionalFormattings>
    </x:ext>
  </x:extLst>
</x:worksheet>
</file>