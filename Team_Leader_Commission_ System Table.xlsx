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guz.azizlerli\Desktop\"/>
    </mc:Choice>
  </mc:AlternateContent>
  <xr:revisionPtr revIDLastSave="0" documentId="13_ncr:1_{D70F2940-C32A-4D4C-B0F7-E9CE55DD7D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nus System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D29" i="1" s="1"/>
  <c r="B28" i="1"/>
  <c r="D28" i="1" s="1"/>
  <c r="B27" i="1"/>
  <c r="D27" i="1" s="1"/>
  <c r="B26" i="1"/>
  <c r="D26" i="1" s="1"/>
  <c r="B25" i="1"/>
  <c r="D25" i="1" s="1"/>
  <c r="B24" i="1"/>
  <c r="D24" i="1" s="1"/>
  <c r="B23" i="1"/>
  <c r="D23" i="1" s="1"/>
  <c r="B22" i="1"/>
  <c r="D22" i="1" s="1"/>
  <c r="B21" i="1"/>
  <c r="D21" i="1" s="1"/>
  <c r="D20" i="1"/>
  <c r="F20" i="1" s="1"/>
  <c r="B20" i="1"/>
  <c r="B19" i="1"/>
  <c r="D19" i="1" s="1"/>
  <c r="F19" i="1" s="1"/>
  <c r="B14" i="1"/>
  <c r="D14" i="1" s="1"/>
  <c r="I13" i="1"/>
  <c r="J13" i="1" s="1"/>
  <c r="F13" i="1"/>
  <c r="K13" i="1" s="1"/>
  <c r="L13" i="1" s="1"/>
  <c r="D13" i="1"/>
  <c r="B13" i="1"/>
  <c r="B12" i="1"/>
  <c r="D12" i="1" s="1"/>
  <c r="B11" i="1"/>
  <c r="D11" i="1" s="1"/>
  <c r="B10" i="1"/>
  <c r="D10" i="1" s="1"/>
  <c r="B9" i="1"/>
  <c r="D9" i="1" s="1"/>
  <c r="B8" i="1"/>
  <c r="D8" i="1" s="1"/>
  <c r="D7" i="1"/>
  <c r="I7" i="1" s="1"/>
  <c r="J7" i="1" s="1"/>
  <c r="B7" i="1"/>
  <c r="B6" i="1"/>
  <c r="D6" i="1" s="1"/>
  <c r="B5" i="1"/>
  <c r="D5" i="1" s="1"/>
  <c r="F5" i="1" s="1"/>
  <c r="F4" i="1"/>
  <c r="B4" i="1"/>
  <c r="I12" i="1" l="1"/>
  <c r="J12" i="1" s="1"/>
  <c r="F12" i="1"/>
  <c r="K12" i="1" s="1"/>
  <c r="L12" i="1" s="1"/>
  <c r="I14" i="1"/>
  <c r="J14" i="1" s="1"/>
  <c r="F14" i="1"/>
  <c r="I9" i="1"/>
  <c r="J9" i="1" s="1"/>
  <c r="F9" i="1"/>
  <c r="K9" i="1" s="1"/>
  <c r="L9" i="1" s="1"/>
  <c r="F10" i="1"/>
  <c r="I10" i="1"/>
  <c r="J10" i="1" s="1"/>
  <c r="I11" i="1"/>
  <c r="J11" i="1" s="1"/>
  <c r="F11" i="1"/>
  <c r="K11" i="1" s="1"/>
  <c r="L11" i="1" s="1"/>
  <c r="I27" i="1"/>
  <c r="J27" i="1" s="1"/>
  <c r="F27" i="1"/>
  <c r="K27" i="1" s="1"/>
  <c r="L27" i="1" s="1"/>
  <c r="I28" i="1"/>
  <c r="J28" i="1" s="1"/>
  <c r="F28" i="1"/>
  <c r="F6" i="1"/>
  <c r="I6" i="1"/>
  <c r="J6" i="1" s="1"/>
  <c r="I21" i="1"/>
  <c r="J21" i="1" s="1"/>
  <c r="F21" i="1"/>
  <c r="K21" i="1" s="1"/>
  <c r="L21" i="1" s="1"/>
  <c r="I22" i="1"/>
  <c r="J22" i="1" s="1"/>
  <c r="F22" i="1"/>
  <c r="K22" i="1" s="1"/>
  <c r="L22" i="1" s="1"/>
  <c r="I23" i="1"/>
  <c r="J23" i="1" s="1"/>
  <c r="F23" i="1"/>
  <c r="K23" i="1" s="1"/>
  <c r="L23" i="1" s="1"/>
  <c r="I8" i="1"/>
  <c r="J8" i="1" s="1"/>
  <c r="F8" i="1"/>
  <c r="K8" i="1" s="1"/>
  <c r="L8" i="1" s="1"/>
  <c r="I24" i="1"/>
  <c r="J24" i="1" s="1"/>
  <c r="F24" i="1"/>
  <c r="K24" i="1" s="1"/>
  <c r="L24" i="1" s="1"/>
  <c r="I25" i="1"/>
  <c r="J25" i="1" s="1"/>
  <c r="F25" i="1"/>
  <c r="K25" i="1" s="1"/>
  <c r="L25" i="1" s="1"/>
  <c r="I26" i="1"/>
  <c r="J26" i="1" s="1"/>
  <c r="F26" i="1"/>
  <c r="K26" i="1" s="1"/>
  <c r="L26" i="1" s="1"/>
  <c r="I29" i="1"/>
  <c r="J29" i="1" s="1"/>
  <c r="F29" i="1"/>
  <c r="K29" i="1" s="1"/>
  <c r="L29" i="1" s="1"/>
  <c r="F7" i="1"/>
  <c r="K7" i="1" s="1"/>
  <c r="L7" i="1" s="1"/>
  <c r="K6" i="1" l="1"/>
  <c r="L6" i="1" s="1"/>
  <c r="K28" i="1"/>
  <c r="L28" i="1" s="1"/>
  <c r="K14" i="1"/>
  <c r="L14" i="1" s="1"/>
  <c r="K10" i="1"/>
  <c r="L10" i="1" s="1"/>
</calcChain>
</file>

<file path=xl/sharedStrings.xml><?xml version="1.0" encoding="utf-8"?>
<sst xmlns="http://schemas.openxmlformats.org/spreadsheetml/2006/main" count="78" uniqueCount="41">
  <si>
    <r>
      <rPr>
        <b/>
        <sz val="14"/>
        <color rgb="FF4A86E8"/>
        <rFont val="Arial"/>
        <family val="2"/>
      </rPr>
      <t>Q1, Q2, Q3</t>
    </r>
    <r>
      <rPr>
        <b/>
        <sz val="14"/>
        <color rgb="FFF1C232"/>
        <rFont val="Arial"/>
        <family val="2"/>
      </rPr>
      <t xml:space="preserve"> </t>
    </r>
    <r>
      <rPr>
        <b/>
        <sz val="14"/>
        <color theme="1"/>
        <rFont val="Arial"/>
        <family val="2"/>
      </rPr>
      <t>TEAM LEADER QUARTERLY BONUS TABLE</t>
    </r>
  </si>
  <si>
    <t xml:space="preserve"> </t>
  </si>
  <si>
    <t>12500 Satışı geçen çeyreklik komisyon çarpanı</t>
  </si>
  <si>
    <t>Monthly Sales Per Agent</t>
  </si>
  <si>
    <t>Total Sales</t>
  </si>
  <si>
    <t>Monthly Comission</t>
  </si>
  <si>
    <t>Total Comission Per Month</t>
  </si>
  <si>
    <t>Quarterly Sales Per Agent</t>
  </si>
  <si>
    <t>Quarterly Bonus(If catch these targets as quarterly avarage. These will be new comission rate)</t>
  </si>
  <si>
    <t>Quarterly Extra Comission Per Month</t>
  </si>
  <si>
    <t>Total comission per month</t>
  </si>
  <si>
    <t>Total comission per quarter</t>
  </si>
  <si>
    <t>7+</t>
  </si>
  <si>
    <t>10+</t>
  </si>
  <si>
    <t>12+</t>
  </si>
  <si>
    <t>SIRALAMA BONUSLARI - HESAPLAMA SAYFASINDA MANUEL GİRİLEBİLİR</t>
  </si>
  <si>
    <t>Bonus Tipi</t>
  </si>
  <si>
    <t>Dönem</t>
  </si>
  <si>
    <t>Not</t>
  </si>
  <si>
    <t>Top Team Leader Bonus</t>
  </si>
  <si>
    <t>Monthly</t>
  </si>
  <si>
    <t>€ 450,00</t>
  </si>
  <si>
    <t>€ 300,00</t>
  </si>
  <si>
    <t>€ 150,00</t>
  </si>
  <si>
    <t>Satış sıralaması</t>
  </si>
  <si>
    <t>Least Team Discount Rate Owner</t>
  </si>
  <si>
    <t>Discount sıralaması</t>
  </si>
  <si>
    <t>Deal / Realization Rate Owner</t>
  </si>
  <si>
    <t>Deal to Realization sıralaması</t>
  </si>
  <si>
    <t>Quarterly</t>
  </si>
  <si>
    <t>€ 1.800,00</t>
  </si>
  <si>
    <t>€ 1.200,00</t>
  </si>
  <si>
    <t>€ 600,00</t>
  </si>
  <si>
    <t>Quarter sıralaması</t>
  </si>
  <si>
    <t>€ 900,00</t>
  </si>
  <si>
    <t>Q4(June, July August) TEAM LEADER QUARTERLY BONUS TABLE</t>
  </si>
  <si>
    <t>Target Catcher - Offers</t>
  </si>
  <si>
    <t>Offer sıralaması</t>
  </si>
  <si>
    <t>monthly and quarterly bonuses(Condition: Min. 12.000 Per agent realization)</t>
  </si>
  <si>
    <t>Quota</t>
  </si>
  <si>
    <t>Sales Over Quota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</si>
</sst>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"/>
  </numFmts>
  <fonts count="12">
    <font>
      <sz val="11"/>
      <color theme="1"/>
      <name val="Aptos Narrow"/>
    </font>
    <font>
      <sz val="10"/>
      <color theme="1"/>
      <name val="Aptos Narrow"/>
    </font>
    <font>
      <b/>
      <sz val="14"/>
      <color theme="1"/>
      <name val="Aptos Narrow"/>
    </font>
    <font>
      <b/>
      <sz val="10"/>
      <color theme="1"/>
      <name val="Aptos Narrow"/>
    </font>
    <font>
      <b/>
      <sz val="10"/>
      <color theme="1"/>
      <name val="Aptos Narrow"/>
    </font>
    <font>
      <sz val="11"/>
      <color theme="1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b/>
      <sz val="14"/>
      <color rgb="FF4A86E8"/>
      <name val="Arial"/>
      <family val="2"/>
    </font>
    <font>
      <b/>
      <sz val="14"/>
      <color rgb="FFF1C232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AD3"/>
      </patternFill>
    </fill>
    <fill>
      <patternFill patternType="solid">
        <fgColor rgb="FFB6D7A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2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4" fontId="1" fillId="0" borderId="0" xfId="0" applyNumberFormat="1" applyFont="1"/>
    <xf numFmtId="10" fontId="4" fillId="2" borderId="0" xfId="0" applyNumberFormat="1" applyFont="1" applyFill="1"/>
    <xf numFmtId="10" fontId="1" fillId="2" borderId="0" xfId="0" applyNumberFormat="1" applyFont="1" applyFill="1"/>
    <xf numFmtId="0" fontId="1" fillId="3" borderId="0" xfId="0" applyFont="1" applyFill="1"/>
    <xf numFmtId="10" fontId="1" fillId="4" borderId="0" xfId="0" applyNumberFormat="1" applyFont="1" applyFill="1"/>
    <xf numFmtId="164" fontId="1" fillId="3" borderId="0" xfId="0" applyNumberFormat="1" applyFont="1" applyFill="1"/>
    <xf numFmtId="10" fontId="1" fillId="5" borderId="0" xfId="0" applyNumberFormat="1" applyFont="1" applyFill="1"/>
    <xf numFmtId="0" fontId="1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/>
    <xf numFmtId="0" fontId="5" fillId="0" borderId="0" xfId="0" applyFont="1"/>
    <xf numFmtId="0" fontId="7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1" fillId="0" borderId="0" xfId="0" applyFont="1"/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5"/>
  <sheetViews>
    <sheetView tabSelected="1" workbookViewId="0">
      <selection activeCell="H87" sqref="H87"/>
    </sheetView>
  </sheetViews>
  <sheetFormatPr defaultRowHeight="14.5"/>
  <cols>
    <col min="1" max="1" width="12.453125" customWidth="1"/>
    <col min="2" max="2" width="13.54296875" customWidth="1"/>
    <col min="3" max="12" width="12.453125" customWidth="1"/>
    <col min="16" max="16" width="33.54296875" customWidth="1"/>
    <col min="17" max="17" width="14.1796875" customWidth="1"/>
    <col min="18" max="18" width="18" customWidth="1"/>
  </cols>
  <sheetData>
    <row r="1" spans="1:21">
      <c r="A1" s="1"/>
    </row>
    <row r="2" spans="1:21" ht="18.5">
      <c r="A2" s="18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2"/>
      <c r="Q2" s="13" t="s">
        <v>1</v>
      </c>
      <c r="R2" s="13" t="s">
        <v>2</v>
      </c>
    </row>
    <row r="3" spans="1:21" ht="91.5">
      <c r="A3" s="3" t="s">
        <v>3</v>
      </c>
      <c r="B3" s="3" t="s">
        <v>4</v>
      </c>
      <c r="C3" s="3" t="s">
        <v>39</v>
      </c>
      <c r="D3" s="3" t="s">
        <v>40</v>
      </c>
      <c r="E3" s="4" t="s">
        <v>5</v>
      </c>
      <c r="F3" s="3" t="s">
        <v>6</v>
      </c>
      <c r="G3" s="3" t="s">
        <v>7</v>
      </c>
      <c r="H3" s="4" t="s">
        <v>8</v>
      </c>
      <c r="I3" s="5" t="s">
        <v>9</v>
      </c>
      <c r="J3" s="3" t="s">
        <v>10</v>
      </c>
      <c r="K3" s="3" t="s">
        <v>10</v>
      </c>
      <c r="L3" s="3" t="s">
        <v>11</v>
      </c>
      <c r="Q3" s="14" t="s">
        <v>12</v>
      </c>
      <c r="R3" s="15">
        <v>0.1</v>
      </c>
    </row>
    <row r="4" spans="1:21">
      <c r="A4" s="6">
        <v>10500</v>
      </c>
      <c r="B4" s="6">
        <f>A4*15</f>
        <v>157500</v>
      </c>
      <c r="C4" s="6">
        <v>150000</v>
      </c>
      <c r="D4" s="6">
        <v>7500</v>
      </c>
      <c r="E4" s="7">
        <v>0.02</v>
      </c>
      <c r="F4" s="6">
        <f t="shared" ref="F4:F14" si="0">E4*D4</f>
        <v>150</v>
      </c>
      <c r="Q4" s="14" t="s">
        <v>13</v>
      </c>
      <c r="R4" s="15">
        <v>0.15</v>
      </c>
    </row>
    <row r="5" spans="1:21">
      <c r="A5" s="6">
        <v>11000</v>
      </c>
      <c r="B5" s="6">
        <f>A5*15</f>
        <v>165000</v>
      </c>
      <c r="C5" s="6">
        <v>150000</v>
      </c>
      <c r="D5" s="6">
        <f t="shared" ref="D5:D14" si="1">B5-C5</f>
        <v>15000</v>
      </c>
      <c r="E5" s="7">
        <v>0.02</v>
      </c>
      <c r="F5" s="6">
        <f t="shared" si="0"/>
        <v>300</v>
      </c>
      <c r="G5" s="6"/>
      <c r="H5" s="8"/>
      <c r="I5" s="9"/>
      <c r="J5" s="6"/>
      <c r="K5" s="6"/>
      <c r="L5" s="6"/>
      <c r="Q5" s="14" t="s">
        <v>14</v>
      </c>
      <c r="R5" s="15">
        <v>0.2</v>
      </c>
    </row>
    <row r="6" spans="1:21">
      <c r="A6" s="6">
        <v>12000</v>
      </c>
      <c r="B6" s="6">
        <f t="shared" ref="B6:B14" si="2">A6*15</f>
        <v>180000</v>
      </c>
      <c r="C6" s="6">
        <v>150000</v>
      </c>
      <c r="D6" s="6">
        <f t="shared" si="1"/>
        <v>30000</v>
      </c>
      <c r="E6" s="7">
        <v>0.02</v>
      </c>
      <c r="F6" s="6">
        <f t="shared" si="0"/>
        <v>600</v>
      </c>
      <c r="G6" s="6">
        <v>12000</v>
      </c>
      <c r="H6" s="10">
        <v>0.03</v>
      </c>
      <c r="I6" s="11">
        <f t="shared" ref="I6:I14" si="3">(H6-E6)*D6</f>
        <v>299.99999999999994</v>
      </c>
      <c r="J6" s="6">
        <f t="shared" ref="J6:J14" si="4">I6*3</f>
        <v>899.99999999999977</v>
      </c>
      <c r="K6" s="6">
        <f t="shared" ref="K6:K14" si="5">F6+I6</f>
        <v>900</v>
      </c>
      <c r="L6" s="6">
        <f t="shared" ref="L6:L14" si="6">K6*3</f>
        <v>2700</v>
      </c>
    </row>
    <row r="7" spans="1:21">
      <c r="A7" s="6">
        <v>13000</v>
      </c>
      <c r="B7" s="6">
        <f t="shared" si="2"/>
        <v>195000</v>
      </c>
      <c r="C7" s="6">
        <v>150000</v>
      </c>
      <c r="D7" s="6">
        <f t="shared" si="1"/>
        <v>45000</v>
      </c>
      <c r="E7" s="7">
        <v>0.02</v>
      </c>
      <c r="F7" s="6">
        <f t="shared" si="0"/>
        <v>900</v>
      </c>
      <c r="G7" s="6">
        <v>13000</v>
      </c>
      <c r="H7" s="10">
        <v>3.5000000000000003E-2</v>
      </c>
      <c r="I7" s="11">
        <f t="shared" si="3"/>
        <v>675.00000000000011</v>
      </c>
      <c r="J7" s="6">
        <f t="shared" si="4"/>
        <v>2025.0000000000005</v>
      </c>
      <c r="K7" s="6">
        <f t="shared" si="5"/>
        <v>1575</v>
      </c>
      <c r="L7" s="6">
        <f t="shared" si="6"/>
        <v>4725</v>
      </c>
    </row>
    <row r="8" spans="1:21">
      <c r="A8" s="6">
        <v>14000</v>
      </c>
      <c r="B8" s="6">
        <f t="shared" si="2"/>
        <v>210000</v>
      </c>
      <c r="C8" s="6">
        <v>150000</v>
      </c>
      <c r="D8" s="6">
        <f t="shared" si="1"/>
        <v>60000</v>
      </c>
      <c r="E8" s="7">
        <v>0.02</v>
      </c>
      <c r="F8" s="6">
        <f t="shared" si="0"/>
        <v>1200</v>
      </c>
      <c r="G8" s="6">
        <v>14000</v>
      </c>
      <c r="H8" s="12">
        <v>0.04</v>
      </c>
      <c r="I8" s="11">
        <f t="shared" si="3"/>
        <v>1200</v>
      </c>
      <c r="J8" s="6">
        <f t="shared" si="4"/>
        <v>3600</v>
      </c>
      <c r="K8" s="6">
        <f t="shared" si="5"/>
        <v>2400</v>
      </c>
      <c r="L8" s="6">
        <f t="shared" si="6"/>
        <v>7200</v>
      </c>
      <c r="P8" s="20" t="s">
        <v>38</v>
      </c>
      <c r="Q8" s="19"/>
      <c r="R8" s="19"/>
      <c r="S8" s="16">
        <v>180000</v>
      </c>
      <c r="T8" s="16"/>
      <c r="U8" s="16"/>
    </row>
    <row r="9" spans="1:21">
      <c r="A9" s="6">
        <v>15000</v>
      </c>
      <c r="B9" s="6">
        <f t="shared" si="2"/>
        <v>225000</v>
      </c>
      <c r="C9" s="6">
        <v>150000</v>
      </c>
      <c r="D9" s="6">
        <f t="shared" si="1"/>
        <v>75000</v>
      </c>
      <c r="E9" s="7">
        <v>0.02</v>
      </c>
      <c r="F9" s="6">
        <f t="shared" si="0"/>
        <v>1500</v>
      </c>
      <c r="G9" s="6">
        <v>15000</v>
      </c>
      <c r="H9" s="12">
        <v>4.4999999999999998E-2</v>
      </c>
      <c r="I9" s="11">
        <f t="shared" si="3"/>
        <v>1874.9999999999998</v>
      </c>
      <c r="J9" s="6">
        <f t="shared" si="4"/>
        <v>5624.9999999999991</v>
      </c>
      <c r="K9" s="6">
        <f t="shared" si="5"/>
        <v>3375</v>
      </c>
      <c r="L9" s="6">
        <f t="shared" si="6"/>
        <v>10125</v>
      </c>
      <c r="P9" s="21" t="s">
        <v>15</v>
      </c>
      <c r="Q9" s="19"/>
      <c r="R9" s="19"/>
      <c r="S9" s="19"/>
      <c r="T9" s="19"/>
      <c r="U9" s="19"/>
    </row>
    <row r="10" spans="1:21">
      <c r="A10" s="6">
        <v>16000</v>
      </c>
      <c r="B10" s="6">
        <f t="shared" si="2"/>
        <v>240000</v>
      </c>
      <c r="C10" s="6">
        <v>150000</v>
      </c>
      <c r="D10" s="6">
        <f t="shared" si="1"/>
        <v>90000</v>
      </c>
      <c r="E10" s="7">
        <v>0.02</v>
      </c>
      <c r="F10" s="6">
        <f t="shared" si="0"/>
        <v>1800</v>
      </c>
      <c r="G10" s="6">
        <v>16000</v>
      </c>
      <c r="H10" s="12">
        <v>4.5999999999999999E-2</v>
      </c>
      <c r="I10" s="11">
        <f t="shared" si="3"/>
        <v>2340</v>
      </c>
      <c r="J10" s="6">
        <f t="shared" si="4"/>
        <v>7020</v>
      </c>
      <c r="K10" s="6">
        <f t="shared" si="5"/>
        <v>4140</v>
      </c>
      <c r="L10" s="6">
        <f t="shared" si="6"/>
        <v>12420</v>
      </c>
      <c r="P10" s="17" t="s">
        <v>16</v>
      </c>
      <c r="Q10" s="17" t="s">
        <v>17</v>
      </c>
      <c r="R10" s="17">
        <v>1</v>
      </c>
      <c r="S10" s="17">
        <v>2</v>
      </c>
      <c r="T10" s="17">
        <v>3</v>
      </c>
      <c r="U10" s="17" t="s">
        <v>18</v>
      </c>
    </row>
    <row r="11" spans="1:21">
      <c r="A11" s="6">
        <v>17000</v>
      </c>
      <c r="B11" s="6">
        <f t="shared" si="2"/>
        <v>255000</v>
      </c>
      <c r="C11" s="6">
        <v>150000</v>
      </c>
      <c r="D11" s="6">
        <f t="shared" si="1"/>
        <v>105000</v>
      </c>
      <c r="E11" s="7">
        <v>0.02</v>
      </c>
      <c r="F11" s="6">
        <f t="shared" si="0"/>
        <v>2100</v>
      </c>
      <c r="G11" s="6">
        <v>17000</v>
      </c>
      <c r="H11" s="12">
        <v>4.7E-2</v>
      </c>
      <c r="I11" s="11">
        <f t="shared" si="3"/>
        <v>2835</v>
      </c>
      <c r="J11" s="6">
        <f t="shared" si="4"/>
        <v>8505</v>
      </c>
      <c r="K11" s="6">
        <f t="shared" si="5"/>
        <v>4935</v>
      </c>
      <c r="L11" s="6">
        <f t="shared" si="6"/>
        <v>14805</v>
      </c>
      <c r="P11" s="16" t="s">
        <v>19</v>
      </c>
      <c r="Q11" s="16" t="s">
        <v>20</v>
      </c>
      <c r="R11" s="16" t="s">
        <v>21</v>
      </c>
      <c r="S11" s="16" t="s">
        <v>22</v>
      </c>
      <c r="T11" s="16" t="s">
        <v>23</v>
      </c>
      <c r="U11" s="16" t="s">
        <v>24</v>
      </c>
    </row>
    <row r="12" spans="1:21">
      <c r="A12" s="6">
        <v>18000</v>
      </c>
      <c r="B12" s="6">
        <f t="shared" si="2"/>
        <v>270000</v>
      </c>
      <c r="C12" s="6">
        <v>150000</v>
      </c>
      <c r="D12" s="6">
        <f t="shared" si="1"/>
        <v>120000</v>
      </c>
      <c r="E12" s="7">
        <v>0.02</v>
      </c>
      <c r="F12" s="6">
        <f t="shared" si="0"/>
        <v>2400</v>
      </c>
      <c r="G12" s="6">
        <v>18000</v>
      </c>
      <c r="H12" s="12">
        <v>4.8000000000000001E-2</v>
      </c>
      <c r="I12" s="11">
        <f t="shared" si="3"/>
        <v>3360</v>
      </c>
      <c r="J12" s="6">
        <f t="shared" si="4"/>
        <v>10080</v>
      </c>
      <c r="K12" s="6">
        <f t="shared" si="5"/>
        <v>5760</v>
      </c>
      <c r="L12" s="6">
        <f t="shared" si="6"/>
        <v>17280</v>
      </c>
      <c r="P12" s="16" t="s">
        <v>25</v>
      </c>
      <c r="Q12" s="16" t="s">
        <v>20</v>
      </c>
      <c r="R12" s="16" t="s">
        <v>21</v>
      </c>
      <c r="S12" s="16" t="s">
        <v>22</v>
      </c>
      <c r="T12" s="16" t="s">
        <v>23</v>
      </c>
      <c r="U12" s="16" t="s">
        <v>26</v>
      </c>
    </row>
    <row r="13" spans="1:21">
      <c r="A13" s="6">
        <v>19000</v>
      </c>
      <c r="B13" s="6">
        <f t="shared" si="2"/>
        <v>285000</v>
      </c>
      <c r="C13" s="6">
        <v>150000</v>
      </c>
      <c r="D13" s="6">
        <f t="shared" si="1"/>
        <v>135000</v>
      </c>
      <c r="E13" s="7">
        <v>0.02</v>
      </c>
      <c r="F13" s="6">
        <f t="shared" si="0"/>
        <v>2700</v>
      </c>
      <c r="G13" s="6">
        <v>19000</v>
      </c>
      <c r="H13" s="12">
        <v>4.9000000000000002E-2</v>
      </c>
      <c r="I13" s="11">
        <f t="shared" si="3"/>
        <v>3915</v>
      </c>
      <c r="J13" s="6">
        <f t="shared" si="4"/>
        <v>11745</v>
      </c>
      <c r="K13" s="6">
        <f t="shared" si="5"/>
        <v>6615</v>
      </c>
      <c r="L13" s="6">
        <f t="shared" si="6"/>
        <v>19845</v>
      </c>
      <c r="P13" s="16" t="s">
        <v>27</v>
      </c>
      <c r="Q13" s="16" t="s">
        <v>20</v>
      </c>
      <c r="R13" s="16" t="s">
        <v>21</v>
      </c>
      <c r="S13" s="16" t="s">
        <v>22</v>
      </c>
      <c r="T13" s="16" t="s">
        <v>23</v>
      </c>
      <c r="U13" s="16" t="s">
        <v>28</v>
      </c>
    </row>
    <row r="14" spans="1:21">
      <c r="A14" s="6">
        <v>20000</v>
      </c>
      <c r="B14" s="6">
        <f t="shared" si="2"/>
        <v>300000</v>
      </c>
      <c r="C14" s="6">
        <v>150000</v>
      </c>
      <c r="D14" s="6">
        <f t="shared" si="1"/>
        <v>150000</v>
      </c>
      <c r="E14" s="7">
        <v>0.02</v>
      </c>
      <c r="F14" s="6">
        <f t="shared" si="0"/>
        <v>3000</v>
      </c>
      <c r="G14" s="6">
        <v>20000</v>
      </c>
      <c r="H14" s="12">
        <v>0.05</v>
      </c>
      <c r="I14" s="11">
        <f t="shared" si="3"/>
        <v>4500</v>
      </c>
      <c r="J14" s="6">
        <f t="shared" si="4"/>
        <v>13500</v>
      </c>
      <c r="K14" s="6">
        <f t="shared" si="5"/>
        <v>7500</v>
      </c>
      <c r="L14" s="6">
        <f t="shared" si="6"/>
        <v>22500</v>
      </c>
      <c r="P14" s="16" t="s">
        <v>19</v>
      </c>
      <c r="Q14" s="16" t="s">
        <v>29</v>
      </c>
      <c r="R14" s="16" t="s">
        <v>30</v>
      </c>
      <c r="S14" s="16" t="s">
        <v>31</v>
      </c>
      <c r="T14" s="16" t="s">
        <v>32</v>
      </c>
      <c r="U14" s="16" t="s">
        <v>33</v>
      </c>
    </row>
    <row r="15" spans="1:21">
      <c r="A15" s="1"/>
      <c r="P15" s="16" t="s">
        <v>25</v>
      </c>
      <c r="Q15" s="16" t="s">
        <v>29</v>
      </c>
      <c r="R15" s="16" t="s">
        <v>30</v>
      </c>
      <c r="S15" s="16" t="s">
        <v>31</v>
      </c>
      <c r="T15" s="16" t="s">
        <v>32</v>
      </c>
      <c r="U15" s="16" t="s">
        <v>26</v>
      </c>
    </row>
    <row r="16" spans="1:21">
      <c r="A16" s="1"/>
      <c r="P16" s="16" t="s">
        <v>27</v>
      </c>
      <c r="Q16" s="16" t="s">
        <v>29</v>
      </c>
      <c r="R16" s="16" t="s">
        <v>34</v>
      </c>
      <c r="S16" s="16" t="s">
        <v>32</v>
      </c>
      <c r="T16" s="16" t="s">
        <v>22</v>
      </c>
      <c r="U16" s="16" t="s">
        <v>28</v>
      </c>
    </row>
    <row r="17" spans="1:21" ht="18.5">
      <c r="A17" s="18" t="s">
        <v>35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"/>
      <c r="P17" s="16" t="s">
        <v>36</v>
      </c>
      <c r="Q17" s="16" t="s">
        <v>29</v>
      </c>
      <c r="R17" s="16" t="s">
        <v>34</v>
      </c>
      <c r="S17" s="16" t="s">
        <v>32</v>
      </c>
      <c r="T17" s="16" t="s">
        <v>22</v>
      </c>
      <c r="U17" s="16" t="s">
        <v>37</v>
      </c>
    </row>
    <row r="18" spans="1:21" ht="91.5">
      <c r="A18" s="3" t="s">
        <v>3</v>
      </c>
      <c r="B18" s="3" t="s">
        <v>4</v>
      </c>
      <c r="C18" s="3" t="s">
        <v>39</v>
      </c>
      <c r="D18" s="3" t="s">
        <v>40</v>
      </c>
      <c r="E18" s="4" t="s">
        <v>5</v>
      </c>
      <c r="F18" s="3" t="s">
        <v>6</v>
      </c>
      <c r="G18" s="3" t="s">
        <v>7</v>
      </c>
      <c r="H18" s="4" t="s">
        <v>8</v>
      </c>
      <c r="I18" s="5" t="s">
        <v>9</v>
      </c>
      <c r="J18" s="3" t="s">
        <v>10</v>
      </c>
      <c r="K18" s="3" t="s">
        <v>10</v>
      </c>
      <c r="L18" s="3" t="s">
        <v>11</v>
      </c>
    </row>
    <row r="19" spans="1:21">
      <c r="A19" s="6">
        <v>10500</v>
      </c>
      <c r="B19" s="6">
        <f>A19*15</f>
        <v>157500</v>
      </c>
      <c r="C19" s="6">
        <v>145000</v>
      </c>
      <c r="D19" s="6">
        <f>B19-C19</f>
        <v>12500</v>
      </c>
      <c r="E19" s="7">
        <v>0.02</v>
      </c>
      <c r="F19" s="6">
        <f t="shared" ref="F19:F29" si="7">E19*D19</f>
        <v>250</v>
      </c>
    </row>
    <row r="20" spans="1:21">
      <c r="A20" s="6">
        <v>11000</v>
      </c>
      <c r="B20" s="6">
        <f>A20*15</f>
        <v>165000</v>
      </c>
      <c r="C20" s="6">
        <v>145000</v>
      </c>
      <c r="D20" s="6">
        <f t="shared" ref="D20:D29" si="8">B20-C20</f>
        <v>20000</v>
      </c>
      <c r="E20" s="7">
        <v>0.02</v>
      </c>
      <c r="F20" s="6">
        <f t="shared" si="7"/>
        <v>400</v>
      </c>
      <c r="G20" s="6"/>
      <c r="H20" s="8"/>
      <c r="I20" s="9"/>
      <c r="J20" s="6"/>
      <c r="K20" s="6"/>
      <c r="L20" s="6"/>
    </row>
    <row r="21" spans="1:21">
      <c r="A21" s="6">
        <v>12000</v>
      </c>
      <c r="B21" s="6">
        <f t="shared" ref="B21:B29" si="9">A21*15</f>
        <v>180000</v>
      </c>
      <c r="C21" s="6">
        <v>145000</v>
      </c>
      <c r="D21" s="6">
        <f t="shared" si="8"/>
        <v>35000</v>
      </c>
      <c r="E21" s="7">
        <v>0.02</v>
      </c>
      <c r="F21" s="6">
        <f t="shared" si="7"/>
        <v>700</v>
      </c>
      <c r="G21" s="6">
        <v>12000</v>
      </c>
      <c r="H21" s="10">
        <v>0.03</v>
      </c>
      <c r="I21" s="11">
        <f t="shared" ref="I21:I29" si="10">(H21-E21)*D21</f>
        <v>349.99999999999994</v>
      </c>
      <c r="J21" s="6">
        <f t="shared" ref="J21:J29" si="11">I21*3</f>
        <v>1049.9999999999998</v>
      </c>
      <c r="K21" s="6">
        <f t="shared" ref="K21:K29" si="12">F21+I21</f>
        <v>1050</v>
      </c>
      <c r="L21" s="6">
        <f t="shared" ref="L21:L29" si="13">K21*3</f>
        <v>3150</v>
      </c>
    </row>
    <row r="22" spans="1:21">
      <c r="A22" s="6">
        <v>13000</v>
      </c>
      <c r="B22" s="6">
        <f t="shared" si="9"/>
        <v>195000</v>
      </c>
      <c r="C22" s="6">
        <v>145000</v>
      </c>
      <c r="D22" s="6">
        <f t="shared" si="8"/>
        <v>50000</v>
      </c>
      <c r="E22" s="7">
        <v>0.02</v>
      </c>
      <c r="F22" s="6">
        <f t="shared" si="7"/>
        <v>1000</v>
      </c>
      <c r="G22" s="6">
        <v>13000</v>
      </c>
      <c r="H22" s="10">
        <v>3.5000000000000003E-2</v>
      </c>
      <c r="I22" s="11">
        <f t="shared" si="10"/>
        <v>750.00000000000011</v>
      </c>
      <c r="J22" s="6">
        <f t="shared" si="11"/>
        <v>2250.0000000000005</v>
      </c>
      <c r="K22" s="6">
        <f t="shared" si="12"/>
        <v>1750</v>
      </c>
      <c r="L22" s="6">
        <f t="shared" si="13"/>
        <v>5250</v>
      </c>
    </row>
    <row r="23" spans="1:21">
      <c r="A23" s="6">
        <v>14000</v>
      </c>
      <c r="B23" s="6">
        <f t="shared" si="9"/>
        <v>210000</v>
      </c>
      <c r="C23" s="6">
        <v>145000</v>
      </c>
      <c r="D23" s="6">
        <f t="shared" si="8"/>
        <v>65000</v>
      </c>
      <c r="E23" s="7">
        <v>0.02</v>
      </c>
      <c r="F23" s="6">
        <f t="shared" si="7"/>
        <v>1300</v>
      </c>
      <c r="G23" s="6">
        <v>14000</v>
      </c>
      <c r="H23" s="12">
        <v>0.04</v>
      </c>
      <c r="I23" s="11">
        <f t="shared" si="10"/>
        <v>1300</v>
      </c>
      <c r="J23" s="6">
        <f t="shared" si="11"/>
        <v>3900</v>
      </c>
      <c r="K23" s="6">
        <f t="shared" si="12"/>
        <v>2600</v>
      </c>
      <c r="L23" s="6">
        <f t="shared" si="13"/>
        <v>7800</v>
      </c>
    </row>
    <row r="24" spans="1:21">
      <c r="A24" s="6">
        <v>15000</v>
      </c>
      <c r="B24" s="6">
        <f t="shared" si="9"/>
        <v>225000</v>
      </c>
      <c r="C24" s="6">
        <v>145000</v>
      </c>
      <c r="D24" s="6">
        <f t="shared" si="8"/>
        <v>80000</v>
      </c>
      <c r="E24" s="7">
        <v>0.02</v>
      </c>
      <c r="F24" s="6">
        <f t="shared" si="7"/>
        <v>1600</v>
      </c>
      <c r="G24" s="6">
        <v>15000</v>
      </c>
      <c r="H24" s="12">
        <v>4.4999999999999998E-2</v>
      </c>
      <c r="I24" s="11">
        <f t="shared" si="10"/>
        <v>1999.9999999999998</v>
      </c>
      <c r="J24" s="6">
        <f t="shared" si="11"/>
        <v>5999.9999999999991</v>
      </c>
      <c r="K24" s="6">
        <f t="shared" si="12"/>
        <v>3600</v>
      </c>
      <c r="L24" s="6">
        <f t="shared" si="13"/>
        <v>10800</v>
      </c>
    </row>
    <row r="25" spans="1:21">
      <c r="A25" s="6">
        <v>16000</v>
      </c>
      <c r="B25" s="6">
        <f t="shared" si="9"/>
        <v>240000</v>
      </c>
      <c r="C25" s="6">
        <v>145000</v>
      </c>
      <c r="D25" s="6">
        <f t="shared" si="8"/>
        <v>95000</v>
      </c>
      <c r="E25" s="7">
        <v>0.02</v>
      </c>
      <c r="F25" s="6">
        <f t="shared" si="7"/>
        <v>1900</v>
      </c>
      <c r="G25" s="6">
        <v>16000</v>
      </c>
      <c r="H25" s="12">
        <v>4.5999999999999999E-2</v>
      </c>
      <c r="I25" s="11">
        <f t="shared" si="10"/>
        <v>2470</v>
      </c>
      <c r="J25" s="6">
        <f t="shared" si="11"/>
        <v>7410</v>
      </c>
      <c r="K25" s="6">
        <f t="shared" si="12"/>
        <v>4370</v>
      </c>
      <c r="L25" s="6">
        <f t="shared" si="13"/>
        <v>13110</v>
      </c>
    </row>
    <row r="26" spans="1:21">
      <c r="A26" s="6">
        <v>17000</v>
      </c>
      <c r="B26" s="6">
        <f t="shared" si="9"/>
        <v>255000</v>
      </c>
      <c r="C26" s="6">
        <v>145000</v>
      </c>
      <c r="D26" s="6">
        <f t="shared" si="8"/>
        <v>110000</v>
      </c>
      <c r="E26" s="7">
        <v>0.02</v>
      </c>
      <c r="F26" s="6">
        <f t="shared" si="7"/>
        <v>2200</v>
      </c>
      <c r="G26" s="6">
        <v>17000</v>
      </c>
      <c r="H26" s="12">
        <v>4.7E-2</v>
      </c>
      <c r="I26" s="11">
        <f t="shared" si="10"/>
        <v>2970</v>
      </c>
      <c r="J26" s="6">
        <f t="shared" si="11"/>
        <v>8910</v>
      </c>
      <c r="K26" s="6">
        <f t="shared" si="12"/>
        <v>5170</v>
      </c>
      <c r="L26" s="6">
        <f t="shared" si="13"/>
        <v>15510</v>
      </c>
    </row>
    <row r="27" spans="1:21">
      <c r="A27" s="6">
        <v>18000</v>
      </c>
      <c r="B27" s="6">
        <f t="shared" si="9"/>
        <v>270000</v>
      </c>
      <c r="C27" s="6">
        <v>145000</v>
      </c>
      <c r="D27" s="6">
        <f t="shared" si="8"/>
        <v>125000</v>
      </c>
      <c r="E27" s="7">
        <v>0.02</v>
      </c>
      <c r="F27" s="6">
        <f t="shared" si="7"/>
        <v>2500</v>
      </c>
      <c r="G27" s="6">
        <v>18000</v>
      </c>
      <c r="H27" s="12">
        <v>4.8000000000000001E-2</v>
      </c>
      <c r="I27" s="11">
        <f t="shared" si="10"/>
        <v>3500</v>
      </c>
      <c r="J27" s="6">
        <f t="shared" si="11"/>
        <v>10500</v>
      </c>
      <c r="K27" s="6">
        <f t="shared" si="12"/>
        <v>6000</v>
      </c>
      <c r="L27" s="6">
        <f t="shared" si="13"/>
        <v>18000</v>
      </c>
    </row>
    <row r="28" spans="1:21">
      <c r="A28" s="6">
        <v>19000</v>
      </c>
      <c r="B28" s="6">
        <f t="shared" si="9"/>
        <v>285000</v>
      </c>
      <c r="C28" s="6">
        <v>145000</v>
      </c>
      <c r="D28" s="6">
        <f t="shared" si="8"/>
        <v>140000</v>
      </c>
      <c r="E28" s="7">
        <v>0.02</v>
      </c>
      <c r="F28" s="6">
        <f t="shared" si="7"/>
        <v>2800</v>
      </c>
      <c r="G28" s="6">
        <v>19000</v>
      </c>
      <c r="H28" s="12">
        <v>4.9000000000000002E-2</v>
      </c>
      <c r="I28" s="11">
        <f t="shared" si="10"/>
        <v>4060</v>
      </c>
      <c r="J28" s="6">
        <f t="shared" si="11"/>
        <v>12180</v>
      </c>
      <c r="K28" s="6">
        <f t="shared" si="12"/>
        <v>6860</v>
      </c>
      <c r="L28" s="6">
        <f t="shared" si="13"/>
        <v>20580</v>
      </c>
    </row>
    <row r="29" spans="1:21">
      <c r="A29" s="6">
        <v>20000</v>
      </c>
      <c r="B29" s="6">
        <f t="shared" si="9"/>
        <v>300000</v>
      </c>
      <c r="C29" s="6">
        <v>145000</v>
      </c>
      <c r="D29" s="6">
        <f t="shared" si="8"/>
        <v>155000</v>
      </c>
      <c r="E29" s="7">
        <v>0.02</v>
      </c>
      <c r="F29" s="6">
        <f t="shared" si="7"/>
        <v>3100</v>
      </c>
      <c r="G29" s="6">
        <v>20000</v>
      </c>
      <c r="H29" s="12">
        <v>0.05</v>
      </c>
      <c r="I29" s="11">
        <f t="shared" si="10"/>
        <v>4650</v>
      </c>
      <c r="J29" s="6">
        <f t="shared" si="11"/>
        <v>13950</v>
      </c>
      <c r="K29" s="6">
        <f t="shared" si="12"/>
        <v>7750</v>
      </c>
      <c r="L29" s="6">
        <f t="shared" si="13"/>
        <v>23250</v>
      </c>
    </row>
    <row r="30" spans="1:21">
      <c r="A30" s="1"/>
    </row>
    <row r="31" spans="1:21">
      <c r="A31" s="1"/>
    </row>
    <row r="32" spans="1:2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</sheetData>
  <mergeCells count="4">
    <mergeCell ref="A2:K2"/>
    <mergeCell ref="A17:K17"/>
    <mergeCell ref="P8:R8"/>
    <mergeCell ref="P9:U9"/>
  </mergeCells>
  <conditionalFormatting sqref="A4:A14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9:A2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B1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B2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:D1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D2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:F1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:F2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Bonus System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Oğuz Azizlerli</cp:lastModifiedBy>
  <dcterms:created xsi:type="dcterms:W3CDTF">2026-07-07T09:05:36Z</dcterms:created>
  <dcterms:modified xsi:type="dcterms:W3CDTF">2026-07-07T09:38:34Z</dcterms:modified>
</cp:coreProperties>
</file>